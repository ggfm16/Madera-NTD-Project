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Ralph\Downloads\NTD Project\"/>
    </mc:Choice>
  </mc:AlternateContent>
  <xr:revisionPtr revIDLastSave="0" documentId="13_ncr:1_{A837CD0B-4FB7-49EC-8C84-F46B59E02590}" xr6:coauthVersionLast="47" xr6:coauthVersionMax="47" xr10:uidLastSave="{00000000-0000-0000-0000-000000000000}"/>
  <bookViews>
    <workbookView xWindow="-110" yWindow="-110" windowWidth="19420" windowHeight="11020" xr2:uid="{D30707E3-0CE8-453E-BA85-8F34FA3D14F4}"/>
  </bookViews>
  <sheets>
    <sheet name="Dynamic Dashboard" sheetId="12" r:id="rId1"/>
    <sheet name="madera_transit_master" sheetId="1" r:id="rId2"/>
    <sheet name="Pivot Engine" sheetId="10" state="hidden" r:id="rId3"/>
  </sheets>
  <definedNames>
    <definedName name="ExternalData_1" localSheetId="2" hidden="1">'Pivot Engine'!$A$1:$K$309</definedName>
    <definedName name="Slicer_KPI_Type">#N/A</definedName>
    <definedName name="Slicer_KPI_Type1">#N/A</definedName>
  </definedNames>
  <calcPr calcId="181029"/>
  <pivotCaches>
    <pivotCache cacheId="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P23" i="1" l="1"/>
  <c r="P2" i="1"/>
  <c r="P3" i="1"/>
  <c r="P4" i="1"/>
  <c r="P5" i="1"/>
  <c r="P6" i="1"/>
  <c r="P7" i="1"/>
  <c r="P8" i="1"/>
  <c r="P9" i="1"/>
  <c r="P10" i="1"/>
  <c r="P11" i="1"/>
  <c r="P12" i="1"/>
  <c r="P13" i="1"/>
  <c r="P14" i="1"/>
  <c r="P15" i="1"/>
  <c r="P16" i="1"/>
  <c r="P17" i="1"/>
  <c r="P18" i="1"/>
  <c r="P19" i="1"/>
  <c r="P20" i="1"/>
  <c r="P21" i="1"/>
  <c r="P22" i="1"/>
  <c r="C16" i="12"/>
  <c r="C15" i="12"/>
  <c r="C14" i="12"/>
  <c r="C13" i="12"/>
  <c r="C12" i="12"/>
  <c r="C11" i="12"/>
  <c r="C10" i="12"/>
  <c r="C9" i="12"/>
  <c r="C8" i="12"/>
  <c r="C7" i="12"/>
  <c r="C6" i="12"/>
  <c r="B6" i="12"/>
  <c r="B16" i="12"/>
  <c r="B15" i="12"/>
  <c r="B14" i="12"/>
  <c r="B13" i="12"/>
  <c r="B12" i="12"/>
  <c r="B11" i="12"/>
  <c r="B10" i="12"/>
  <c r="B9" i="12"/>
  <c r="B8" i="12"/>
  <c r="B7" i="12"/>
  <c r="K312" i="10"/>
  <c r="R3" i="1"/>
  <c r="R4" i="1"/>
  <c r="R5" i="1"/>
  <c r="R6" i="1"/>
  <c r="R7" i="1"/>
  <c r="R8" i="1"/>
  <c r="R9" i="1"/>
  <c r="R10" i="1"/>
  <c r="R11" i="1"/>
  <c r="R12" i="1"/>
  <c r="R13" i="1"/>
  <c r="R14" i="1"/>
  <c r="R15" i="1"/>
  <c r="R16" i="1"/>
  <c r="R17" i="1"/>
  <c r="R18" i="1"/>
  <c r="R19" i="1"/>
  <c r="R20" i="1"/>
  <c r="R21" i="1"/>
  <c r="R22" i="1"/>
  <c r="R23" i="1"/>
  <c r="R2" i="1"/>
  <c r="E6" i="12" l="1"/>
  <c r="E7" i="12"/>
  <c r="E13" i="12"/>
  <c r="E8" i="12"/>
  <c r="E9" i="12"/>
  <c r="E10" i="12"/>
  <c r="E12" i="12"/>
  <c r="E14" i="12"/>
  <c r="E16" i="12"/>
  <c r="C17" i="12"/>
  <c r="D8" i="12"/>
  <c r="D12" i="12"/>
  <c r="D15" i="12"/>
  <c r="E11" i="12"/>
  <c r="D10" i="12"/>
  <c r="D16" i="12"/>
  <c r="E15" i="12"/>
  <c r="B17" i="12"/>
  <c r="D9" i="12"/>
  <c r="D13" i="12"/>
  <c r="D6" i="12"/>
  <c r="D7" i="12"/>
  <c r="D11" i="12"/>
  <c r="D14" i="12"/>
  <c r="E17" i="12" l="1"/>
  <c r="D17"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A091BC-B95F-4278-A1F5-4649CFC49AC3}"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2" xr16:uid="{8588AE1B-0468-43BC-A7A9-8B0CE7902A2D}" keepAlive="1" name="Query - Table2 (2)" description="Connection to the 'Table2 (2)' query in the workbook." type="5" refreshedVersion="8" background="1" saveData="1">
    <dbPr connection="Provider=Microsoft.Mashup.OleDb.1;Data Source=$Workbook$;Location=&quot;Table2 (2)&quot;;Extended Properties=&quot;&quot;" command="SELECT * FROM [Table2 (2)]"/>
  </connection>
</connections>
</file>

<file path=xl/sharedStrings.xml><?xml version="1.0" encoding="utf-8"?>
<sst xmlns="http://schemas.openxmlformats.org/spreadsheetml/2006/main" count="1485" uniqueCount="48">
  <si>
    <t>Year</t>
  </si>
  <si>
    <t>NTD_ID</t>
  </si>
  <si>
    <t>Agency</t>
  </si>
  <si>
    <t>Mode</t>
  </si>
  <si>
    <t>Mode_Code</t>
  </si>
  <si>
    <t>Service_Area_Pop</t>
  </si>
  <si>
    <t>Operating_Expenses</t>
  </si>
  <si>
    <t>Fare_Revenue</t>
  </si>
  <si>
    <t>VRM</t>
  </si>
  <si>
    <t>VRH</t>
  </si>
  <si>
    <t>UPT</t>
  </si>
  <si>
    <t>VOMS</t>
  </si>
  <si>
    <t>OE_per_UPT</t>
  </si>
  <si>
    <t>OE_per_VRM</t>
  </si>
  <si>
    <t>OE_per_VRH</t>
  </si>
  <si>
    <t>UPT_per_VRM</t>
  </si>
  <si>
    <t>Farebox_Recovery_Pct</t>
  </si>
  <si>
    <t>Avg_Fleet_Age</t>
  </si>
  <si>
    <t>Fare_Ops_Funding</t>
  </si>
  <si>
    <t>Federal_Ops_Funding</t>
  </si>
  <si>
    <t>State_Ops_Funding</t>
  </si>
  <si>
    <t>Local_Ops_Funding</t>
  </si>
  <si>
    <t>City of Madera</t>
  </si>
  <si>
    <t>Fixed Route Bus</t>
  </si>
  <si>
    <t>MB</t>
  </si>
  <si>
    <t>Demand Response</t>
  </si>
  <si>
    <t>DR</t>
  </si>
  <si>
    <t>N/A</t>
  </si>
  <si>
    <t>Row Labels</t>
  </si>
  <si>
    <t>Grand Total</t>
  </si>
  <si>
    <t>Column Labels</t>
  </si>
  <si>
    <t>Value</t>
  </si>
  <si>
    <t>Sum of Value</t>
  </si>
  <si>
    <t>KPI_Type</t>
  </si>
  <si>
    <t>=</t>
  </si>
  <si>
    <t>Difference</t>
  </si>
  <si>
    <t>Metric Total &amp; Difference Table</t>
  </si>
  <si>
    <t>Shows the totals for a chosen metric as well as the difference with color-coding identifying which Mode was the largest</t>
  </si>
  <si>
    <t>Years</t>
  </si>
  <si>
    <t>Fixed Route</t>
  </si>
  <si>
    <t>Total</t>
  </si>
  <si>
    <t>Dynamic Chart Table</t>
  </si>
  <si>
    <t>Total&amp;Difference Table</t>
  </si>
  <si>
    <t>Maximum</t>
  </si>
  <si>
    <t>Minimum</t>
  </si>
  <si>
    <t>UPT_per_VRH</t>
  </si>
  <si>
    <t>Dynamic Metric Chart</t>
  </si>
  <si>
    <t>A dynamic chart that can cycle through relevant metrics with a click of the selector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</si>
</sst>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72" formatCode="_(&quot;$&quot;* #,##0_);_(&quot;$&quot;* \(#,##0\);_(&quot;$&quot;*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lightUp">
        <fgColor rgb="FFC00000"/>
      </patternFill>
    </fill>
    <fill>
      <patternFill patternType="lightUp">
        <fgColor theme="9" tint="-0.24994659260841701"/>
        <bgColor auto="1"/>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FF0000"/>
      </left>
      <right style="thin">
        <color rgb="FFFF0000"/>
      </right>
      <top style="thin">
        <color rgb="FFFF0000"/>
      </top>
      <bottom style="thin">
        <color rgb="FFFF0000"/>
      </bottom>
      <diagonal/>
    </border>
    <border>
      <left style="thin">
        <color theme="9" tint="-0.24994659260841701"/>
      </left>
      <right style="thin">
        <color theme="9" tint="-0.24994659260841701"/>
      </right>
      <top style="thin">
        <color theme="9" tint="-0.24994659260841701"/>
      </top>
      <bottom style="thin">
        <color theme="9" tint="-0.24994659260841701"/>
      </bottom>
      <diagonal/>
    </border>
    <border>
      <left/>
      <right/>
      <top style="thick">
        <color theme="4" tint="0.499984740745262"/>
      </top>
      <bottom/>
      <diagonal/>
    </border>
  </borders>
  <cellStyleXfs count="47">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0" fontId="16" fillId="33" borderId="10"/>
    <xf numFmtId="0" fontId="16" fillId="34" borderId="11"/>
  </cellStyleXfs>
  <cellXfs count="30">
    <xf numFmtId="0" fontId="0" fillId="0" borderId="0" xfId="0"/>
    <xf numFmtId="0" fontId="0" fillId="0" borderId="0" xfId="0" applyAlignment="1">
      <alignment horizontal="center"/>
    </xf>
    <xf numFmtId="0" fontId="13" fillId="0" borderId="3" xfId="6" applyFont="1" applyAlignment="1">
      <alignment horizontal="center"/>
    </xf>
    <xf numFmtId="0" fontId="17" fillId="0" borderId="0" xfId="0" applyFont="1" applyAlignment="1">
      <alignment horizontal="center"/>
    </xf>
    <xf numFmtId="0" fontId="17" fillId="0" borderId="0" xfId="0" applyFont="1"/>
    <xf numFmtId="44" fontId="0" fillId="0" borderId="0" xfId="1" applyFont="1" applyAlignment="1">
      <alignment horizontal="center"/>
    </xf>
    <xf numFmtId="10" fontId="0" fillId="0" borderId="0" xfId="2" applyNumberFormat="1" applyFont="1"/>
    <xf numFmtId="0" fontId="0" fillId="0" borderId="0" xfId="0" pivotButton="1"/>
    <xf numFmtId="0" fontId="0" fillId="0" borderId="0" xfId="0" applyAlignment="1">
      <alignment horizontal="left"/>
    </xf>
    <xf numFmtId="0" fontId="0" fillId="0" borderId="0" xfId="0" applyNumberFormat="1"/>
    <xf numFmtId="2" fontId="0" fillId="0" borderId="0" xfId="0" applyNumberFormat="1" applyAlignment="1">
      <alignment horizontal="center"/>
    </xf>
    <xf numFmtId="1" fontId="0" fillId="0" borderId="0" xfId="0" applyNumberFormat="1" applyAlignment="1">
      <alignment horizontal="center"/>
    </xf>
    <xf numFmtId="1" fontId="13" fillId="0" borderId="3" xfId="6" applyNumberFormat="1" applyFont="1" applyAlignment="1">
      <alignment horizontal="center"/>
    </xf>
    <xf numFmtId="1" fontId="0" fillId="0" borderId="0" xfId="0" applyNumberFormat="1"/>
    <xf numFmtId="0" fontId="3" fillId="0" borderId="1" xfId="4" applyAlignment="1">
      <alignment horizontal="center"/>
    </xf>
    <xf numFmtId="43" fontId="0" fillId="0" borderId="0" xfId="44" applyFont="1"/>
    <xf numFmtId="172" fontId="0" fillId="0" borderId="0" xfId="1" applyNumberFormat="1" applyFont="1" applyAlignment="1">
      <alignment horizontal="left"/>
    </xf>
    <xf numFmtId="0" fontId="2" fillId="0" borderId="0" xfId="3" applyAlignment="1">
      <alignment horizontal="center"/>
    </xf>
    <xf numFmtId="0" fontId="0" fillId="0" borderId="0" xfId="0" applyNumberFormat="1" applyFont="1" applyFill="1" applyBorder="1" applyAlignment="1" applyProtection="1"/>
    <xf numFmtId="0" fontId="16" fillId="34" borderId="11" xfId="46"/>
    <xf numFmtId="0" fontId="16" fillId="33" borderId="10" xfId="45"/>
    <xf numFmtId="0" fontId="0" fillId="0" borderId="0" xfId="0"/>
    <xf numFmtId="0" fontId="16" fillId="27" borderId="0" xfId="38" applyFont="1"/>
    <xf numFmtId="43" fontId="16" fillId="27" borderId="0" xfId="38" applyNumberFormat="1" applyFont="1"/>
    <xf numFmtId="0" fontId="16" fillId="12" borderId="0" xfId="23" applyFont="1"/>
    <xf numFmtId="0" fontId="16" fillId="16" borderId="0" xfId="27" applyFont="1"/>
    <xf numFmtId="9" fontId="0" fillId="0" borderId="0" xfId="2" applyFont="1"/>
    <xf numFmtId="43" fontId="0" fillId="0" borderId="0" xfId="0" applyNumberFormat="1"/>
    <xf numFmtId="0" fontId="2" fillId="0" borderId="2" xfId="3" applyBorder="1" applyAlignment="1">
      <alignment horizontal="center"/>
    </xf>
    <xf numFmtId="0" fontId="0" fillId="0" borderId="12" xfId="0" applyBorder="1" applyAlignment="1">
      <alignment horizontal="center"/>
    </xf>
  </cellXfs>
  <cellStyles count="47">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44" builtinId="3"/>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Maximum" xfId="46" xr:uid="{2599CB13-71D4-4654-B2A9-E9BA05045E98}"/>
    <cellStyle name="Minimum-1" xfId="45" xr:uid="{C25AC217-45E5-4A05-985A-68655E03A9D3}"/>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87">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0" formatCode="General"/>
    </dxf>
    <dxf>
      <numFmt numFmtId="0" formatCode="General"/>
    </dxf>
    <dxf>
      <numFmt numFmtId="0" formatCode="General"/>
    </dxf>
    <dxf>
      <numFmt numFmtId="0" formatCode="General"/>
    </dxf>
    <dxf>
      <numFmt numFmtId="0" formatCode="General"/>
    </dxf>
    <dxf>
      <font>
        <b/>
        <i val="0"/>
      </font>
      <fill>
        <patternFill patternType="lightUp">
          <fgColor rgb="FFFF0000"/>
        </patternFill>
      </fill>
      <border>
        <left style="thin">
          <color rgb="FFFF0000"/>
        </left>
        <right style="thin">
          <color rgb="FFFF0000"/>
        </right>
        <top style="thin">
          <color rgb="FFFF0000"/>
        </top>
        <bottom style="thin">
          <color rgb="FFFF0000"/>
        </bottom>
      </border>
    </dxf>
    <dxf>
      <font>
        <b/>
        <i val="0"/>
      </font>
      <fill>
        <patternFill patternType="lightUp">
          <fgColor theme="9" tint="-0.24994659260841701"/>
        </patternFill>
      </fill>
      <border>
        <left style="thin">
          <color rgb="FF00B050"/>
        </left>
        <right style="thin">
          <color rgb="FF00B050"/>
        </right>
        <top style="thin">
          <color rgb="FF00B050"/>
        </top>
        <bottom style="thin">
          <color rgb="FF00B050"/>
        </bottom>
        <vertical/>
        <horizontal/>
      </border>
    </dxf>
    <dxf>
      <font>
        <color auto="1"/>
      </font>
      <fill>
        <patternFill patternType="solid">
          <bgColor theme="4" tint="0.39994506668294322"/>
        </patternFill>
      </fill>
    </dxf>
    <dxf>
      <fill>
        <patternFill patternType="solid">
          <bgColor theme="5" tint="0.39994506668294322"/>
        </patternFill>
      </fill>
      <border>
        <left/>
        <right/>
        <top/>
        <bottom/>
      </border>
    </dxf>
    <dxf>
      <numFmt numFmtId="14" formatCode="0.0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medium">
          <color theme="4" tint="0.39997558519241921"/>
        </bottom>
      </border>
    </dxf>
    <dxf>
      <font>
        <strike val="0"/>
        <outline val="0"/>
        <shadow val="0"/>
        <u val="none"/>
        <vertAlign val="baseline"/>
        <sz val="11"/>
        <color theme="0"/>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[madera_transit_master.xlsx]Pivot Engine!PivotTable16</c:name>
    <c:fmtId val="19"/>
  </c:pivotSource>
  <c:chart>
    <c:title>
      <c:tx>
        <c:strRef>
          <c:f>'Pivot Engine'!$K$312</c:f>
          <c:strCache>
            <c:ptCount val="1"/>
            <c:pt idx="0">
              <c:v>Annual Metric: Operating_Expenses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Engine'!$K$312</c:f>
              <c:strCache>
                <c:ptCount val="1"/>
                <c:pt idx="0">
                  <c:v>Demand Response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Engine'!$K$312</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'Pivot Engine'!$K$312</c:f>
              <c:numCache>
                <c:formatCode>General</c:formatCode>
                <c:ptCount val="11"/>
                <c:pt idx="0">
                  <c:v>793120</c:v>
                </c:pt>
                <c:pt idx="1">
                  <c:v>751109</c:v>
                </c:pt>
                <c:pt idx="2">
                  <c:v>901769</c:v>
                </c:pt>
                <c:pt idx="3">
                  <c:v>927647</c:v>
                </c:pt>
                <c:pt idx="4">
                  <c:v>1067146</c:v>
                </c:pt>
                <c:pt idx="5">
                  <c:v>1082178</c:v>
                </c:pt>
                <c:pt idx="6">
                  <c:v>1105043</c:v>
                </c:pt>
                <c:pt idx="7">
                  <c:v>1015851</c:v>
                </c:pt>
                <c:pt idx="8">
                  <c:v>1180371</c:v>
                </c:pt>
                <c:pt idx="9">
                  <c:v>1197797</c:v>
                </c:pt>
                <c:pt idx="10">
                  <c:v>1351313</c:v>
                </c:pt>
              </c:numCache>
            </c:numRef>
          </c:val>
          <c:smooth val="0"/>
          <c:extLst>
            <c:ext xmlns:c16="http://schemas.microsoft.com/office/drawing/2014/chart" uri="{C3380CC4-5D6E-409C-BE32-E72D297353CC}">
              <c16:uniqueId val="{00000000-4EC4-4B7F-8F8E-BD0149647711}"/>
            </c:ext>
          </c:extLst>
        </c:ser>
        <c:ser>
          <c:idx val="1"/>
          <c:order val="1"/>
          <c:tx>
            <c:strRef>
              <c:f>'Pivot Engine'!$K$312</c:f>
              <c:strCache>
                <c:ptCount val="1"/>
                <c:pt idx="0">
                  <c:v>Fixed Route Bus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Engine'!$K$312</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'Pivot Engine'!$K$312</c:f>
              <c:numCache>
                <c:formatCode>General</c:formatCode>
                <c:ptCount val="11"/>
                <c:pt idx="0">
                  <c:v>845828</c:v>
                </c:pt>
                <c:pt idx="1">
                  <c:v>712624</c:v>
                </c:pt>
                <c:pt idx="2">
                  <c:v>846817</c:v>
                </c:pt>
                <c:pt idx="3">
                  <c:v>945588</c:v>
                </c:pt>
                <c:pt idx="4">
                  <c:v>1067811</c:v>
                </c:pt>
                <c:pt idx="5">
                  <c:v>1067697</c:v>
                </c:pt>
                <c:pt idx="6">
                  <c:v>1327094</c:v>
                </c:pt>
                <c:pt idx="7">
                  <c:v>1377788</c:v>
                </c:pt>
                <c:pt idx="8">
                  <c:v>1681016</c:v>
                </c:pt>
                <c:pt idx="9">
                  <c:v>1584061</c:v>
                </c:pt>
                <c:pt idx="10">
                  <c:v>1949330</c:v>
                </c:pt>
              </c:numCache>
            </c:numRef>
          </c:val>
          <c:smooth val="0"/>
          <c:extLst>
            <c:ext xmlns:c16="http://schemas.microsoft.com/office/drawing/2014/chart" uri="{C3380CC4-5D6E-409C-BE32-E72D297353CC}">
              <c16:uniqueId val="{00000001-4EC4-4B7F-8F8E-BD0149647711}"/>
            </c:ext>
          </c:extLst>
        </c:ser>
        <c:dLbls>
          <c:showLegendKey val="0"/>
          <c:showVal val="0"/>
          <c:showCatName val="0"/>
          <c:showSerName val="0"/>
          <c:showPercent val="0"/>
          <c:showBubbleSize val="0"/>
        </c:dLbls>
        <c:marker val="1"/>
        <c:smooth val="0"/>
        <c:axId val="689011567"/>
        <c:axId val="689008207"/>
      </c:lineChart>
      <c:catAx>
        <c:axId val="689011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008207"/>
        <c:crosses val="autoZero"/>
        <c:auto val="1"/>
        <c:lblAlgn val="ctr"/>
        <c:lblOffset val="100"/>
        <c:noMultiLvlLbl val="0"/>
      </c:catAx>
      <c:valAx>
        <c:axId val="6890082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Metric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quot;;[&lt;=0.9]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01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277266</xdr:colOff>
      <xdr:row>4</xdr:row>
      <xdr:rowOff>34259</xdr:rowOff>
    </xdr:from>
    <xdr:to>
      <xdr:col>8</xdr:col>
      <xdr:colOff>105016</xdr:colOff>
      <xdr:row>15</xdr:row>
      <xdr:rowOff>150091</xdr:rowOff>
    </xdr:to>
    <mc:AlternateContent xmlns:mc="http://schemas.openxmlformats.org/markup-compatibility/2006">
      <mc:Choice xmlns:a14="http://schemas.microsoft.com/office/drawing/2010/main" Requires="a14">
        <xdr:graphicFrame macro="">
          <xdr:nvGraphicFramePr>
            <xdr:cNvPr id="2" name="Metric Type">
              <a:extLst>
                <a:ext uri="{FF2B5EF4-FFF2-40B4-BE49-F238E27FC236}">
                  <a16:creationId xmlns:a16="http://schemas.microsoft.com/office/drawing/2014/main" id="{C85075F1-26CB-45CC-88E2-8E4228C7DF90}"/>
                </a:ext>
              </a:extLst>
            </xdr:cNvPr>
            <xdr:cNvGraphicFramePr/>
          </xdr:nvGraphicFramePr>
          <xdr:xfrm>
            <a:off x="0" y="0"/>
            <a:ext cx="0" cy="0"/>
          </xdr:xfrm>
          <a:graphic>
            <a:graphicData uri="http://schemas.microsoft.com/office/drawing/2010/slicer">
              <sle:slicer xmlns:sle="http://schemas.microsoft.com/office/drawing/2010/slicer" name="Metric Type"/>
            </a:graphicData>
          </a:graphic>
        </xdr:graphicFrame>
      </mc:Choice>
      <mc:Fallback>
        <xdr:sp macro="" textlink="">
          <xdr:nvSpPr>
            <xdr:cNvPr id="0" name=""/>
            <xdr:cNvSpPr>
              <a:spLocks noTextEdit="1"/>
            </xdr:cNvSpPr>
          </xdr:nvSpPr>
          <xdr:spPr>
            <a:xfrm>
              <a:off x="5380357" y="900168"/>
              <a:ext cx="1848204" cy="2147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554182</xdr:colOff>
      <xdr:row>3</xdr:row>
      <xdr:rowOff>150720</xdr:rowOff>
    </xdr:from>
    <xdr:to>
      <xdr:col>26</xdr:col>
      <xdr:colOff>40492</xdr:colOff>
      <xdr:row>25</xdr:row>
      <xdr:rowOff>37066</xdr:rowOff>
    </xdr:to>
    <xdr:grpSp>
      <xdr:nvGrpSpPr>
        <xdr:cNvPr id="3" name="Group 2">
          <a:extLst>
            <a:ext uri="{FF2B5EF4-FFF2-40B4-BE49-F238E27FC236}">
              <a16:creationId xmlns:a16="http://schemas.microsoft.com/office/drawing/2014/main" id="{CA6605F1-BEE0-4F87-A629-C6900414A963}"/>
            </a:ext>
          </a:extLst>
        </xdr:cNvPr>
        <xdr:cNvGrpSpPr/>
      </xdr:nvGrpSpPr>
      <xdr:grpSpPr>
        <a:xfrm>
          <a:off x="7677727" y="831902"/>
          <a:ext cx="10500674" cy="3950346"/>
          <a:chOff x="0" y="-1871"/>
          <a:chExt cx="10493539" cy="3699393"/>
        </a:xfrm>
      </xdr:grpSpPr>
      <mc:AlternateContent xmlns:mc="http://schemas.openxmlformats.org/markup-compatibility/2006">
        <mc:Choice xmlns:a14="http://schemas.microsoft.com/office/drawing/2010/main" Requires="a14">
          <xdr:graphicFrame macro="">
            <xdr:nvGraphicFramePr>
              <xdr:cNvPr id="4" name="Metric Selection">
                <a:extLst>
                  <a:ext uri="{FF2B5EF4-FFF2-40B4-BE49-F238E27FC236}">
                    <a16:creationId xmlns:a16="http://schemas.microsoft.com/office/drawing/2014/main" id="{E9CE5280-2B4C-F097-93FD-DD50586C99C9}"/>
                  </a:ext>
                </a:extLst>
              </xdr:cNvPr>
              <xdr:cNvGraphicFramePr/>
            </xdr:nvGraphicFramePr>
            <xdr:xfrm>
              <a:off x="8623176" y="20872"/>
              <a:ext cx="1870363" cy="3676650"/>
            </xdr:xfrm>
            <a:graphic>
              <a:graphicData uri="http://schemas.microsoft.com/office/drawing/2010/slicer">
                <sle:slicer xmlns:sle="http://schemas.microsoft.com/office/drawing/2010/slicer" name="Metric Selection"/>
              </a:graphicData>
            </a:graphic>
          </xdr:graphicFrame>
        </mc:Choice>
        <mc:Fallback>
          <xdr:sp macro="" textlink="">
            <xdr:nvSpPr>
              <xdr:cNvPr id="0" name=""/>
              <xdr:cNvSpPr>
                <a:spLocks noTextEdit="1"/>
              </xdr:cNvSpPr>
            </xdr:nvSpPr>
            <xdr:spPr>
              <a:xfrm>
                <a:off x="16306766" y="856188"/>
                <a:ext cx="1871635" cy="3926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5" name="Chart 4">
            <a:extLst>
              <a:ext uri="{FF2B5EF4-FFF2-40B4-BE49-F238E27FC236}">
                <a16:creationId xmlns:a16="http://schemas.microsoft.com/office/drawing/2014/main" id="{90A28F7F-2517-13E7-259A-3AF5027A7ACF}"/>
              </a:ext>
            </a:extLst>
          </xdr:cNvPr>
          <xdr:cNvGraphicFramePr>
            <a:graphicFrameLocks/>
          </xdr:cNvGraphicFramePr>
        </xdr:nvGraphicFramePr>
        <xdr:xfrm>
          <a:off x="0" y="-1871"/>
          <a:ext cx="8610023" cy="3696413"/>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lph Cuevas" refreshedDate="46179.856184027776" createdVersion="8" refreshedVersion="8" minRefreshableVersion="3" recordCount="308" xr:uid="{CA6DB363-E6AF-495F-9583-6DA5207755B0}">
  <cacheSource type="worksheet">
    <worksheetSource name="Table2_2"/>
  </cacheSource>
  <cacheFields count="11">
    <cacheField name="Year" numFmtId="0">
      <sharedItems containsSemiMixedTypes="0" containsString="0" containsNumber="1" containsInteger="1" minValue="2014" maxValue="2024" count="11">
        <n v="2014"/>
        <n v="2015"/>
        <n v="2016"/>
        <n v="2017"/>
        <n v="2018"/>
        <n v="2019"/>
        <n v="2020"/>
        <n v="2021"/>
        <n v="2022"/>
        <n v="2023"/>
        <n v="2024"/>
      </sharedItems>
    </cacheField>
    <cacheField name="NTD_ID" numFmtId="0">
      <sharedItems containsSemiMixedTypes="0" containsString="0" containsNumber="1" containsInteger="1" minValue="90199" maxValue="90199"/>
    </cacheField>
    <cacheField name="Agency" numFmtId="0">
      <sharedItems/>
    </cacheField>
    <cacheField name="Mode" numFmtId="0">
      <sharedItems count="2">
        <s v="Fixed Route Bus"/>
        <s v="Demand Response"/>
      </sharedItems>
    </cacheField>
    <cacheField name="Mode_Code" numFmtId="0">
      <sharedItems/>
    </cacheField>
    <cacheField name="Fare_Ops_Funding" numFmtId="0">
      <sharedItems containsMixedTypes="1" containsNumber="1" containsInteger="1" minValue="25330" maxValue="451870"/>
    </cacheField>
    <cacheField name="Federal_Ops_Funding" numFmtId="0">
      <sharedItems containsMixedTypes="1" containsNumber="1" containsInteger="1" minValue="731682" maxValue="2619708"/>
    </cacheField>
    <cacheField name="State_Ops_Funding" numFmtId="0">
      <sharedItems containsMixedTypes="1" containsNumber="1" containsInteger="1" minValue="204038" maxValue="1990782"/>
    </cacheField>
    <cacheField name="Local_Ops_Funding" numFmtId="0">
      <sharedItems containsMixedTypes="1" containsNumber="1" containsInteger="1" minValue="0" maxValue="0"/>
    </cacheField>
    <cacheField name="KPI_Type" numFmtId="0">
      <sharedItems count="14">
        <s v="Service_Area_Pop"/>
        <s v="Operating_Expenses"/>
        <s v="Fare_Revenue"/>
        <s v="VRM"/>
        <s v="VRH"/>
        <s v="UPT"/>
        <s v="VOMS"/>
        <s v="OE_per_UPT"/>
        <s v="OE_per_VRM"/>
        <s v="OE_per_VRH"/>
        <s v="UPT_per_VRH"/>
        <s v="UPT_per_VRM"/>
        <s v="Farebox_Recovery_Pct"/>
        <s v="Avg_Fleet_Age"/>
      </sharedItems>
    </cacheField>
    <cacheField name="Value" numFmtId="0">
      <sharedItems containsSemiMixedTypes="0" containsString="0" containsNumber="1" minValue="0" maxValue="1949330"/>
    </cacheField>
  </cacheFields>
  <extLst>
    <ext xmlns:x14="http://schemas.microsoft.com/office/spreadsheetml/2009/9/main" uri="{725AE2AE-9491-48be-B2B4-4EB974FC3084}">
      <x14:pivotCacheDefinition pivotCacheId="20873070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
  <r>
    <x v="0"/>
    <n v="90199"/>
    <s v="City of Madera"/>
    <x v="0"/>
    <s v="MB"/>
    <s v="N/A"/>
    <s v="N/A"/>
    <s v="N/A"/>
    <s v="N/A"/>
    <x v="0"/>
    <n v="62514"/>
  </r>
  <r>
    <x v="0"/>
    <n v="90199"/>
    <s v="City of Madera"/>
    <x v="0"/>
    <s v="MB"/>
    <s v="N/A"/>
    <s v="N/A"/>
    <s v="N/A"/>
    <s v="N/A"/>
    <x v="1"/>
    <n v="845828"/>
  </r>
  <r>
    <x v="0"/>
    <n v="90199"/>
    <s v="City of Madera"/>
    <x v="0"/>
    <s v="MB"/>
    <s v="N/A"/>
    <s v="N/A"/>
    <s v="N/A"/>
    <s v="N/A"/>
    <x v="2"/>
    <n v="105350"/>
  </r>
  <r>
    <x v="0"/>
    <n v="90199"/>
    <s v="City of Madera"/>
    <x v="0"/>
    <s v="MB"/>
    <s v="N/A"/>
    <s v="N/A"/>
    <s v="N/A"/>
    <s v="N/A"/>
    <x v="3"/>
    <n v="178186"/>
  </r>
  <r>
    <x v="0"/>
    <n v="90199"/>
    <s v="City of Madera"/>
    <x v="0"/>
    <s v="MB"/>
    <s v="N/A"/>
    <s v="N/A"/>
    <s v="N/A"/>
    <s v="N/A"/>
    <x v="4"/>
    <n v="12560"/>
  </r>
  <r>
    <x v="0"/>
    <n v="90199"/>
    <s v="City of Madera"/>
    <x v="0"/>
    <s v="MB"/>
    <s v="N/A"/>
    <s v="N/A"/>
    <s v="N/A"/>
    <s v="N/A"/>
    <x v="5"/>
    <n v="143710"/>
  </r>
  <r>
    <x v="0"/>
    <n v="90199"/>
    <s v="City of Madera"/>
    <x v="0"/>
    <s v="MB"/>
    <s v="N/A"/>
    <s v="N/A"/>
    <s v="N/A"/>
    <s v="N/A"/>
    <x v="6"/>
    <n v="6"/>
  </r>
  <r>
    <x v="0"/>
    <n v="90199"/>
    <s v="City of Madera"/>
    <x v="0"/>
    <s v="MB"/>
    <s v="N/A"/>
    <s v="N/A"/>
    <s v="N/A"/>
    <s v="N/A"/>
    <x v="7"/>
    <n v="5.89"/>
  </r>
  <r>
    <x v="0"/>
    <n v="90199"/>
    <s v="City of Madera"/>
    <x v="0"/>
    <s v="MB"/>
    <s v="N/A"/>
    <s v="N/A"/>
    <s v="N/A"/>
    <s v="N/A"/>
    <x v="8"/>
    <n v="4.7469000000000001"/>
  </r>
  <r>
    <x v="0"/>
    <n v="90199"/>
    <s v="City of Madera"/>
    <x v="0"/>
    <s v="MB"/>
    <s v="N/A"/>
    <s v="N/A"/>
    <s v="N/A"/>
    <s v="N/A"/>
    <x v="9"/>
    <n v="67.34"/>
  </r>
  <r>
    <x v="0"/>
    <n v="90199"/>
    <s v="City of Madera"/>
    <x v="0"/>
    <s v="MB"/>
    <s v="N/A"/>
    <s v="N/A"/>
    <s v="N/A"/>
    <s v="N/A"/>
    <x v="10"/>
    <n v="11.441878980891719"/>
  </r>
  <r>
    <x v="0"/>
    <n v="90199"/>
    <s v="City of Madera"/>
    <x v="0"/>
    <s v="MB"/>
    <s v="N/A"/>
    <s v="N/A"/>
    <s v="N/A"/>
    <s v="N/A"/>
    <x v="11"/>
    <n v="0.80649999999999999"/>
  </r>
  <r>
    <x v="0"/>
    <n v="90199"/>
    <s v="City of Madera"/>
    <x v="0"/>
    <s v="MB"/>
    <s v="N/A"/>
    <s v="N/A"/>
    <s v="N/A"/>
    <s v="N/A"/>
    <x v="12"/>
    <n v="0.12455250949365593"/>
  </r>
  <r>
    <x v="0"/>
    <n v="90199"/>
    <s v="City of Madera"/>
    <x v="0"/>
    <s v="MB"/>
    <s v="N/A"/>
    <s v="N/A"/>
    <s v="N/A"/>
    <s v="N/A"/>
    <x v="13"/>
    <n v="5.3"/>
  </r>
  <r>
    <x v="0"/>
    <n v="90199"/>
    <s v="City of Madera"/>
    <x v="1"/>
    <s v="DR"/>
    <s v="N/A"/>
    <s v="N/A"/>
    <s v="N/A"/>
    <s v="N/A"/>
    <x v="0"/>
    <n v="62514"/>
  </r>
  <r>
    <x v="0"/>
    <n v="90199"/>
    <s v="City of Madera"/>
    <x v="1"/>
    <s v="DR"/>
    <s v="N/A"/>
    <s v="N/A"/>
    <s v="N/A"/>
    <s v="N/A"/>
    <x v="1"/>
    <n v="793120"/>
  </r>
  <r>
    <x v="0"/>
    <n v="90199"/>
    <s v="City of Madera"/>
    <x v="1"/>
    <s v="DR"/>
    <s v="N/A"/>
    <s v="N/A"/>
    <s v="N/A"/>
    <s v="N/A"/>
    <x v="2"/>
    <n v="43830"/>
  </r>
  <r>
    <x v="0"/>
    <n v="90199"/>
    <s v="City of Madera"/>
    <x v="1"/>
    <s v="DR"/>
    <s v="N/A"/>
    <s v="N/A"/>
    <s v="N/A"/>
    <s v="N/A"/>
    <x v="3"/>
    <n v="182701"/>
  </r>
  <r>
    <x v="0"/>
    <n v="90199"/>
    <s v="City of Madera"/>
    <x v="1"/>
    <s v="DR"/>
    <s v="N/A"/>
    <s v="N/A"/>
    <s v="N/A"/>
    <s v="N/A"/>
    <x v="4"/>
    <n v="11536"/>
  </r>
  <r>
    <x v="0"/>
    <n v="90199"/>
    <s v="City of Madera"/>
    <x v="1"/>
    <s v="DR"/>
    <s v="N/A"/>
    <s v="N/A"/>
    <s v="N/A"/>
    <s v="N/A"/>
    <x v="5"/>
    <n v="36662"/>
  </r>
  <r>
    <x v="0"/>
    <n v="90199"/>
    <s v="City of Madera"/>
    <x v="1"/>
    <s v="DR"/>
    <s v="N/A"/>
    <s v="N/A"/>
    <s v="N/A"/>
    <s v="N/A"/>
    <x v="6"/>
    <n v="7"/>
  </r>
  <r>
    <x v="0"/>
    <n v="90199"/>
    <s v="City of Madera"/>
    <x v="1"/>
    <s v="DR"/>
    <s v="N/A"/>
    <s v="N/A"/>
    <s v="N/A"/>
    <s v="N/A"/>
    <x v="7"/>
    <n v="21.63"/>
  </r>
  <r>
    <x v="0"/>
    <n v="90199"/>
    <s v="City of Madera"/>
    <x v="1"/>
    <s v="DR"/>
    <s v="N/A"/>
    <s v="N/A"/>
    <s v="N/A"/>
    <s v="N/A"/>
    <x v="8"/>
    <n v="4.3411"/>
  </r>
  <r>
    <x v="0"/>
    <n v="90199"/>
    <s v="City of Madera"/>
    <x v="1"/>
    <s v="DR"/>
    <s v="N/A"/>
    <s v="N/A"/>
    <s v="N/A"/>
    <s v="N/A"/>
    <x v="9"/>
    <n v="68.75"/>
  </r>
  <r>
    <x v="0"/>
    <n v="90199"/>
    <s v="City of Madera"/>
    <x v="1"/>
    <s v="DR"/>
    <s v="N/A"/>
    <s v="N/A"/>
    <s v="N/A"/>
    <s v="N/A"/>
    <x v="10"/>
    <n v="3.1780513176144245"/>
  </r>
  <r>
    <x v="0"/>
    <n v="90199"/>
    <s v="City of Madera"/>
    <x v="1"/>
    <s v="DR"/>
    <s v="N/A"/>
    <s v="N/A"/>
    <s v="N/A"/>
    <s v="N/A"/>
    <x v="11"/>
    <n v="0.20069999999999999"/>
  </r>
  <r>
    <x v="0"/>
    <n v="90199"/>
    <s v="City of Madera"/>
    <x v="1"/>
    <s v="DR"/>
    <s v="N/A"/>
    <s v="N/A"/>
    <s v="N/A"/>
    <s v="N/A"/>
    <x v="12"/>
    <n v="5.5262759733709907E-2"/>
  </r>
  <r>
    <x v="0"/>
    <n v="90199"/>
    <s v="City of Madera"/>
    <x v="1"/>
    <s v="DR"/>
    <s v="N/A"/>
    <s v="N/A"/>
    <s v="N/A"/>
    <s v="N/A"/>
    <x v="13"/>
    <n v="3.2"/>
  </r>
  <r>
    <x v="1"/>
    <n v="90199"/>
    <s v="City of Madera"/>
    <x v="0"/>
    <s v="MB"/>
    <n v="149222"/>
    <n v="888435"/>
    <n v="426076"/>
    <n v="0"/>
    <x v="0"/>
    <n v="62514"/>
  </r>
  <r>
    <x v="1"/>
    <n v="90199"/>
    <s v="City of Madera"/>
    <x v="0"/>
    <s v="MB"/>
    <n v="149222"/>
    <n v="888435"/>
    <n v="426076"/>
    <n v="0"/>
    <x v="1"/>
    <n v="712624"/>
  </r>
  <r>
    <x v="1"/>
    <n v="90199"/>
    <s v="City of Madera"/>
    <x v="0"/>
    <s v="MB"/>
    <n v="149222"/>
    <n v="888435"/>
    <n v="426076"/>
    <n v="0"/>
    <x v="2"/>
    <n v="91262"/>
  </r>
  <r>
    <x v="1"/>
    <n v="90199"/>
    <s v="City of Madera"/>
    <x v="0"/>
    <s v="MB"/>
    <n v="149222"/>
    <n v="888435"/>
    <n v="426076"/>
    <n v="0"/>
    <x v="3"/>
    <n v="163507"/>
  </r>
  <r>
    <x v="1"/>
    <n v="90199"/>
    <s v="City of Madera"/>
    <x v="0"/>
    <s v="MB"/>
    <n v="149222"/>
    <n v="888435"/>
    <n v="426076"/>
    <n v="0"/>
    <x v="4"/>
    <n v="12575"/>
  </r>
  <r>
    <x v="1"/>
    <n v="90199"/>
    <s v="City of Madera"/>
    <x v="0"/>
    <s v="MB"/>
    <n v="149222"/>
    <n v="888435"/>
    <n v="426076"/>
    <n v="0"/>
    <x v="5"/>
    <n v="131493"/>
  </r>
  <r>
    <x v="1"/>
    <n v="90199"/>
    <s v="City of Madera"/>
    <x v="0"/>
    <s v="MB"/>
    <n v="149222"/>
    <n v="888435"/>
    <n v="426076"/>
    <n v="0"/>
    <x v="6"/>
    <n v="6"/>
  </r>
  <r>
    <x v="1"/>
    <n v="90199"/>
    <s v="City of Madera"/>
    <x v="0"/>
    <s v="MB"/>
    <n v="149222"/>
    <n v="888435"/>
    <n v="426076"/>
    <n v="0"/>
    <x v="7"/>
    <n v="5.42"/>
  </r>
  <r>
    <x v="1"/>
    <n v="90199"/>
    <s v="City of Madera"/>
    <x v="0"/>
    <s v="MB"/>
    <n v="149222"/>
    <n v="888435"/>
    <n v="426076"/>
    <n v="0"/>
    <x v="8"/>
    <n v="4.3583999999999996"/>
  </r>
  <r>
    <x v="1"/>
    <n v="90199"/>
    <s v="City of Madera"/>
    <x v="0"/>
    <s v="MB"/>
    <n v="149222"/>
    <n v="888435"/>
    <n v="426076"/>
    <n v="0"/>
    <x v="9"/>
    <n v="56.67"/>
  </r>
  <r>
    <x v="1"/>
    <n v="90199"/>
    <s v="City of Madera"/>
    <x v="0"/>
    <s v="MB"/>
    <n v="149222"/>
    <n v="888435"/>
    <n v="426076"/>
    <n v="0"/>
    <x v="10"/>
    <n v="10.456699801192842"/>
  </r>
  <r>
    <x v="1"/>
    <n v="90199"/>
    <s v="City of Madera"/>
    <x v="0"/>
    <s v="MB"/>
    <n v="149222"/>
    <n v="888435"/>
    <n v="426076"/>
    <n v="0"/>
    <x v="11"/>
    <n v="0.80420000000000003"/>
  </r>
  <r>
    <x v="1"/>
    <n v="90199"/>
    <s v="City of Madera"/>
    <x v="0"/>
    <s v="MB"/>
    <n v="149222"/>
    <n v="888435"/>
    <n v="426076"/>
    <n v="0"/>
    <x v="12"/>
    <n v="0.12806472978737735"/>
  </r>
  <r>
    <x v="1"/>
    <n v="90199"/>
    <s v="City of Madera"/>
    <x v="0"/>
    <s v="MB"/>
    <n v="149222"/>
    <n v="888435"/>
    <n v="426076"/>
    <n v="0"/>
    <x v="13"/>
    <n v="5.5"/>
  </r>
  <r>
    <x v="1"/>
    <n v="90199"/>
    <s v="City of Madera"/>
    <x v="1"/>
    <s v="DR"/>
    <n v="149222"/>
    <n v="888435"/>
    <n v="426076"/>
    <n v="0"/>
    <x v="0"/>
    <n v="62514"/>
  </r>
  <r>
    <x v="1"/>
    <n v="90199"/>
    <s v="City of Madera"/>
    <x v="1"/>
    <s v="DR"/>
    <n v="149222"/>
    <n v="888435"/>
    <n v="426076"/>
    <n v="0"/>
    <x v="1"/>
    <n v="751109"/>
  </r>
  <r>
    <x v="1"/>
    <n v="90199"/>
    <s v="City of Madera"/>
    <x v="1"/>
    <s v="DR"/>
    <n v="149222"/>
    <n v="888435"/>
    <n v="426076"/>
    <n v="0"/>
    <x v="2"/>
    <n v="30432"/>
  </r>
  <r>
    <x v="1"/>
    <n v="90199"/>
    <s v="City of Madera"/>
    <x v="1"/>
    <s v="DR"/>
    <n v="149222"/>
    <n v="888435"/>
    <n v="426076"/>
    <n v="0"/>
    <x v="3"/>
    <n v="186796"/>
  </r>
  <r>
    <x v="1"/>
    <n v="90199"/>
    <s v="City of Madera"/>
    <x v="1"/>
    <s v="DR"/>
    <n v="149222"/>
    <n v="888435"/>
    <n v="426076"/>
    <n v="0"/>
    <x v="4"/>
    <n v="12020"/>
  </r>
  <r>
    <x v="1"/>
    <n v="90199"/>
    <s v="City of Madera"/>
    <x v="1"/>
    <s v="DR"/>
    <n v="149222"/>
    <n v="888435"/>
    <n v="426076"/>
    <n v="0"/>
    <x v="5"/>
    <n v="40505"/>
  </r>
  <r>
    <x v="1"/>
    <n v="90199"/>
    <s v="City of Madera"/>
    <x v="1"/>
    <s v="DR"/>
    <n v="149222"/>
    <n v="888435"/>
    <n v="426076"/>
    <n v="0"/>
    <x v="6"/>
    <n v="7"/>
  </r>
  <r>
    <x v="1"/>
    <n v="90199"/>
    <s v="City of Madera"/>
    <x v="1"/>
    <s v="DR"/>
    <n v="149222"/>
    <n v="888435"/>
    <n v="426076"/>
    <n v="0"/>
    <x v="7"/>
    <n v="18.54"/>
  </r>
  <r>
    <x v="1"/>
    <n v="90199"/>
    <s v="City of Madera"/>
    <x v="1"/>
    <s v="DR"/>
    <n v="149222"/>
    <n v="888435"/>
    <n v="426076"/>
    <n v="0"/>
    <x v="8"/>
    <n v="4.0209999999999999"/>
  </r>
  <r>
    <x v="1"/>
    <n v="90199"/>
    <s v="City of Madera"/>
    <x v="1"/>
    <s v="DR"/>
    <n v="149222"/>
    <n v="888435"/>
    <n v="426076"/>
    <n v="0"/>
    <x v="9"/>
    <n v="62.49"/>
  </r>
  <r>
    <x v="1"/>
    <n v="90199"/>
    <s v="City of Madera"/>
    <x v="1"/>
    <s v="DR"/>
    <n v="149222"/>
    <n v="888435"/>
    <n v="426076"/>
    <n v="0"/>
    <x v="10"/>
    <n v="3.3698003327787021"/>
  </r>
  <r>
    <x v="1"/>
    <n v="90199"/>
    <s v="City of Madera"/>
    <x v="1"/>
    <s v="DR"/>
    <n v="149222"/>
    <n v="888435"/>
    <n v="426076"/>
    <n v="0"/>
    <x v="11"/>
    <n v="0.21679999999999999"/>
  </r>
  <r>
    <x v="1"/>
    <n v="90199"/>
    <s v="City of Madera"/>
    <x v="1"/>
    <s v="DR"/>
    <n v="149222"/>
    <n v="888435"/>
    <n v="426076"/>
    <n v="0"/>
    <x v="12"/>
    <n v="4.0516090207945853E-2"/>
  </r>
  <r>
    <x v="1"/>
    <n v="90199"/>
    <s v="City of Madera"/>
    <x v="1"/>
    <s v="DR"/>
    <n v="149222"/>
    <n v="888435"/>
    <n v="426076"/>
    <n v="0"/>
    <x v="13"/>
    <n v="4.4000000000000004"/>
  </r>
  <r>
    <x v="2"/>
    <n v="90199"/>
    <s v="City of Madera"/>
    <x v="0"/>
    <s v="MB"/>
    <n v="403352"/>
    <n v="731682"/>
    <n v="613552"/>
    <n v="0"/>
    <x v="0"/>
    <n v="64208"/>
  </r>
  <r>
    <x v="2"/>
    <n v="90199"/>
    <s v="City of Madera"/>
    <x v="0"/>
    <s v="MB"/>
    <n v="403352"/>
    <n v="731682"/>
    <n v="613552"/>
    <n v="0"/>
    <x v="1"/>
    <n v="846817"/>
  </r>
  <r>
    <x v="2"/>
    <n v="90199"/>
    <s v="City of Madera"/>
    <x v="0"/>
    <s v="MB"/>
    <n v="403352"/>
    <n v="731682"/>
    <n v="613552"/>
    <n v="0"/>
    <x v="2"/>
    <n v="89244"/>
  </r>
  <r>
    <x v="2"/>
    <n v="90199"/>
    <s v="City of Madera"/>
    <x v="0"/>
    <s v="MB"/>
    <n v="403352"/>
    <n v="731682"/>
    <n v="613552"/>
    <n v="0"/>
    <x v="3"/>
    <n v="171428"/>
  </r>
  <r>
    <x v="2"/>
    <n v="90199"/>
    <s v="City of Madera"/>
    <x v="0"/>
    <s v="MB"/>
    <n v="403352"/>
    <n v="731682"/>
    <n v="613552"/>
    <n v="0"/>
    <x v="4"/>
    <n v="12560"/>
  </r>
  <r>
    <x v="2"/>
    <n v="90199"/>
    <s v="City of Madera"/>
    <x v="0"/>
    <s v="MB"/>
    <n v="403352"/>
    <n v="731682"/>
    <n v="613552"/>
    <n v="0"/>
    <x v="5"/>
    <n v="108391"/>
  </r>
  <r>
    <x v="2"/>
    <n v="90199"/>
    <s v="City of Madera"/>
    <x v="0"/>
    <s v="MB"/>
    <n v="403352"/>
    <n v="731682"/>
    <n v="613552"/>
    <n v="0"/>
    <x v="6"/>
    <n v="7"/>
  </r>
  <r>
    <x v="2"/>
    <n v="90199"/>
    <s v="City of Madera"/>
    <x v="0"/>
    <s v="MB"/>
    <n v="403352"/>
    <n v="731682"/>
    <n v="613552"/>
    <n v="0"/>
    <x v="7"/>
    <n v="7.81"/>
  </r>
  <r>
    <x v="2"/>
    <n v="90199"/>
    <s v="City of Madera"/>
    <x v="0"/>
    <s v="MB"/>
    <n v="403352"/>
    <n v="731682"/>
    <n v="613552"/>
    <n v="0"/>
    <x v="8"/>
    <n v="4.9398"/>
  </r>
  <r>
    <x v="2"/>
    <n v="90199"/>
    <s v="City of Madera"/>
    <x v="0"/>
    <s v="MB"/>
    <n v="403352"/>
    <n v="731682"/>
    <n v="613552"/>
    <n v="0"/>
    <x v="9"/>
    <n v="67.42"/>
  </r>
  <r>
    <x v="2"/>
    <n v="90199"/>
    <s v="City of Madera"/>
    <x v="0"/>
    <s v="MB"/>
    <n v="403352"/>
    <n v="731682"/>
    <n v="613552"/>
    <n v="0"/>
    <x v="10"/>
    <n v="8.6298566878980889"/>
  </r>
  <r>
    <x v="2"/>
    <n v="90199"/>
    <s v="City of Madera"/>
    <x v="0"/>
    <s v="MB"/>
    <n v="403352"/>
    <n v="731682"/>
    <n v="613552"/>
    <n v="0"/>
    <x v="11"/>
    <n v="0.63229999999999997"/>
  </r>
  <r>
    <x v="2"/>
    <n v="90199"/>
    <s v="City of Madera"/>
    <x v="0"/>
    <s v="MB"/>
    <n v="403352"/>
    <n v="731682"/>
    <n v="613552"/>
    <n v="0"/>
    <x v="12"/>
    <n v="0.10538758669228417"/>
  </r>
  <r>
    <x v="2"/>
    <n v="90199"/>
    <s v="City of Madera"/>
    <x v="0"/>
    <s v="MB"/>
    <n v="403352"/>
    <n v="731682"/>
    <n v="613552"/>
    <n v="0"/>
    <x v="13"/>
    <n v="7.1"/>
  </r>
  <r>
    <x v="2"/>
    <n v="90199"/>
    <s v="City of Madera"/>
    <x v="1"/>
    <s v="DR"/>
    <n v="403352"/>
    <n v="731682"/>
    <n v="613552"/>
    <n v="0"/>
    <x v="0"/>
    <n v="64208"/>
  </r>
  <r>
    <x v="2"/>
    <n v="90199"/>
    <s v="City of Madera"/>
    <x v="1"/>
    <s v="DR"/>
    <n v="403352"/>
    <n v="731682"/>
    <n v="613552"/>
    <n v="0"/>
    <x v="1"/>
    <n v="901769"/>
  </r>
  <r>
    <x v="2"/>
    <n v="90199"/>
    <s v="City of Madera"/>
    <x v="1"/>
    <s v="DR"/>
    <n v="403352"/>
    <n v="731682"/>
    <n v="613552"/>
    <n v="0"/>
    <x v="2"/>
    <n v="27808"/>
  </r>
  <r>
    <x v="2"/>
    <n v="90199"/>
    <s v="City of Madera"/>
    <x v="1"/>
    <s v="DR"/>
    <n v="403352"/>
    <n v="731682"/>
    <n v="613552"/>
    <n v="0"/>
    <x v="3"/>
    <n v="175436"/>
  </r>
  <r>
    <x v="2"/>
    <n v="90199"/>
    <s v="City of Madera"/>
    <x v="1"/>
    <s v="DR"/>
    <n v="403352"/>
    <n v="731682"/>
    <n v="613552"/>
    <n v="0"/>
    <x v="4"/>
    <n v="13016"/>
  </r>
  <r>
    <x v="2"/>
    <n v="90199"/>
    <s v="City of Madera"/>
    <x v="1"/>
    <s v="DR"/>
    <n v="403352"/>
    <n v="731682"/>
    <n v="613552"/>
    <n v="0"/>
    <x v="5"/>
    <n v="39146"/>
  </r>
  <r>
    <x v="2"/>
    <n v="90199"/>
    <s v="City of Madera"/>
    <x v="1"/>
    <s v="DR"/>
    <n v="403352"/>
    <n v="731682"/>
    <n v="613552"/>
    <n v="0"/>
    <x v="6"/>
    <n v="9"/>
  </r>
  <r>
    <x v="2"/>
    <n v="90199"/>
    <s v="City of Madera"/>
    <x v="1"/>
    <s v="DR"/>
    <n v="403352"/>
    <n v="731682"/>
    <n v="613552"/>
    <n v="0"/>
    <x v="7"/>
    <n v="23.04"/>
  </r>
  <r>
    <x v="2"/>
    <n v="90199"/>
    <s v="City of Madera"/>
    <x v="1"/>
    <s v="DR"/>
    <n v="403352"/>
    <n v="731682"/>
    <n v="613552"/>
    <n v="0"/>
    <x v="8"/>
    <n v="5.1402000000000001"/>
  </r>
  <r>
    <x v="2"/>
    <n v="90199"/>
    <s v="City of Madera"/>
    <x v="1"/>
    <s v="DR"/>
    <n v="403352"/>
    <n v="731682"/>
    <n v="613552"/>
    <n v="0"/>
    <x v="9"/>
    <n v="69.28"/>
  </r>
  <r>
    <x v="2"/>
    <n v="90199"/>
    <s v="City of Madera"/>
    <x v="1"/>
    <s v="DR"/>
    <n v="403352"/>
    <n v="731682"/>
    <n v="613552"/>
    <n v="0"/>
    <x v="10"/>
    <n v="3.0075291948371237"/>
  </r>
  <r>
    <x v="2"/>
    <n v="90199"/>
    <s v="City of Madera"/>
    <x v="1"/>
    <s v="DR"/>
    <n v="403352"/>
    <n v="731682"/>
    <n v="613552"/>
    <n v="0"/>
    <x v="11"/>
    <n v="0.22309999999999999"/>
  </r>
  <r>
    <x v="2"/>
    <n v="90199"/>
    <s v="City of Madera"/>
    <x v="1"/>
    <s v="DR"/>
    <n v="403352"/>
    <n v="731682"/>
    <n v="613552"/>
    <n v="0"/>
    <x v="12"/>
    <n v="3.0837165615584479E-2"/>
  </r>
  <r>
    <x v="2"/>
    <n v="90199"/>
    <s v="City of Madera"/>
    <x v="1"/>
    <s v="DR"/>
    <n v="403352"/>
    <n v="731682"/>
    <n v="613552"/>
    <n v="0"/>
    <x v="13"/>
    <n v="4.4000000000000004"/>
  </r>
  <r>
    <x v="3"/>
    <n v="90199"/>
    <s v="City of Madera"/>
    <x v="0"/>
    <s v="MB"/>
    <n v="398181"/>
    <n v="809836"/>
    <n v="665218"/>
    <n v="0"/>
    <x v="0"/>
    <n v="64208"/>
  </r>
  <r>
    <x v="3"/>
    <n v="90199"/>
    <s v="City of Madera"/>
    <x v="0"/>
    <s v="MB"/>
    <n v="398181"/>
    <n v="809836"/>
    <n v="665218"/>
    <n v="0"/>
    <x v="1"/>
    <n v="945588"/>
  </r>
  <r>
    <x v="3"/>
    <n v="90199"/>
    <s v="City of Madera"/>
    <x v="0"/>
    <s v="MB"/>
    <n v="398181"/>
    <n v="809836"/>
    <n v="665218"/>
    <n v="0"/>
    <x v="2"/>
    <n v="84283"/>
  </r>
  <r>
    <x v="3"/>
    <n v="90199"/>
    <s v="City of Madera"/>
    <x v="0"/>
    <s v="MB"/>
    <n v="398181"/>
    <n v="809836"/>
    <n v="665218"/>
    <n v="0"/>
    <x v="3"/>
    <n v="197570"/>
  </r>
  <r>
    <x v="3"/>
    <n v="90199"/>
    <s v="City of Madera"/>
    <x v="0"/>
    <s v="MB"/>
    <n v="398181"/>
    <n v="809836"/>
    <n v="665218"/>
    <n v="0"/>
    <x v="4"/>
    <n v="14864"/>
  </r>
  <r>
    <x v="3"/>
    <n v="90199"/>
    <s v="City of Madera"/>
    <x v="0"/>
    <s v="MB"/>
    <n v="398181"/>
    <n v="809836"/>
    <n v="665218"/>
    <n v="0"/>
    <x v="5"/>
    <n v="103002"/>
  </r>
  <r>
    <x v="3"/>
    <n v="90199"/>
    <s v="City of Madera"/>
    <x v="0"/>
    <s v="MB"/>
    <n v="398181"/>
    <n v="809836"/>
    <n v="665218"/>
    <n v="0"/>
    <x v="6"/>
    <n v="7"/>
  </r>
  <r>
    <x v="3"/>
    <n v="90199"/>
    <s v="City of Madera"/>
    <x v="0"/>
    <s v="MB"/>
    <n v="398181"/>
    <n v="809836"/>
    <n v="665218"/>
    <n v="0"/>
    <x v="7"/>
    <n v="9.18"/>
  </r>
  <r>
    <x v="3"/>
    <n v="90199"/>
    <s v="City of Madera"/>
    <x v="0"/>
    <s v="MB"/>
    <n v="398181"/>
    <n v="809836"/>
    <n v="665218"/>
    <n v="0"/>
    <x v="8"/>
    <n v="4.7861000000000002"/>
  </r>
  <r>
    <x v="3"/>
    <n v="90199"/>
    <s v="City of Madera"/>
    <x v="0"/>
    <s v="MB"/>
    <n v="398181"/>
    <n v="809836"/>
    <n v="665218"/>
    <n v="0"/>
    <x v="9"/>
    <n v="63.62"/>
  </r>
  <r>
    <x v="3"/>
    <n v="90199"/>
    <s v="City of Madera"/>
    <x v="0"/>
    <s v="MB"/>
    <n v="398181"/>
    <n v="809836"/>
    <n v="665218"/>
    <n v="0"/>
    <x v="10"/>
    <n v="6.9296286329386438"/>
  </r>
  <r>
    <x v="3"/>
    <n v="90199"/>
    <s v="City of Madera"/>
    <x v="0"/>
    <s v="MB"/>
    <n v="398181"/>
    <n v="809836"/>
    <n v="665218"/>
    <n v="0"/>
    <x v="11"/>
    <n v="0.52129999999999999"/>
  </r>
  <r>
    <x v="3"/>
    <n v="90199"/>
    <s v="City of Madera"/>
    <x v="0"/>
    <s v="MB"/>
    <n v="398181"/>
    <n v="809836"/>
    <n v="665218"/>
    <n v="0"/>
    <x v="12"/>
    <n v="8.9132899317673236E-2"/>
  </r>
  <r>
    <x v="3"/>
    <n v="90199"/>
    <s v="City of Madera"/>
    <x v="0"/>
    <s v="MB"/>
    <n v="398181"/>
    <n v="809836"/>
    <n v="665218"/>
    <n v="0"/>
    <x v="13"/>
    <n v="8.1"/>
  </r>
  <r>
    <x v="3"/>
    <n v="90199"/>
    <s v="City of Madera"/>
    <x v="1"/>
    <s v="DR"/>
    <n v="398181"/>
    <n v="809836"/>
    <n v="665218"/>
    <n v="0"/>
    <x v="0"/>
    <n v="64208"/>
  </r>
  <r>
    <x v="3"/>
    <n v="90199"/>
    <s v="City of Madera"/>
    <x v="1"/>
    <s v="DR"/>
    <n v="398181"/>
    <n v="809836"/>
    <n v="665218"/>
    <n v="0"/>
    <x v="1"/>
    <n v="927647"/>
  </r>
  <r>
    <x v="3"/>
    <n v="90199"/>
    <s v="City of Madera"/>
    <x v="1"/>
    <s v="DR"/>
    <n v="398181"/>
    <n v="809836"/>
    <n v="665218"/>
    <n v="0"/>
    <x v="2"/>
    <n v="22732"/>
  </r>
  <r>
    <x v="3"/>
    <n v="90199"/>
    <s v="City of Madera"/>
    <x v="1"/>
    <s v="DR"/>
    <n v="398181"/>
    <n v="809836"/>
    <n v="665218"/>
    <n v="0"/>
    <x v="3"/>
    <n v="169178"/>
  </r>
  <r>
    <x v="3"/>
    <n v="90199"/>
    <s v="City of Madera"/>
    <x v="1"/>
    <s v="DR"/>
    <n v="398181"/>
    <n v="809836"/>
    <n v="665218"/>
    <n v="0"/>
    <x v="4"/>
    <n v="13354"/>
  </r>
  <r>
    <x v="3"/>
    <n v="90199"/>
    <s v="City of Madera"/>
    <x v="1"/>
    <s v="DR"/>
    <n v="398181"/>
    <n v="809836"/>
    <n v="665218"/>
    <n v="0"/>
    <x v="5"/>
    <n v="35661"/>
  </r>
  <r>
    <x v="3"/>
    <n v="90199"/>
    <s v="City of Madera"/>
    <x v="1"/>
    <s v="DR"/>
    <n v="398181"/>
    <n v="809836"/>
    <n v="665218"/>
    <n v="0"/>
    <x v="6"/>
    <n v="9"/>
  </r>
  <r>
    <x v="3"/>
    <n v="90199"/>
    <s v="City of Madera"/>
    <x v="1"/>
    <s v="DR"/>
    <n v="398181"/>
    <n v="809836"/>
    <n v="665218"/>
    <n v="0"/>
    <x v="7"/>
    <n v="26.01"/>
  </r>
  <r>
    <x v="3"/>
    <n v="90199"/>
    <s v="City of Madera"/>
    <x v="1"/>
    <s v="DR"/>
    <n v="398181"/>
    <n v="809836"/>
    <n v="665218"/>
    <n v="0"/>
    <x v="8"/>
    <n v="5.4832999999999998"/>
  </r>
  <r>
    <x v="3"/>
    <n v="90199"/>
    <s v="City of Madera"/>
    <x v="1"/>
    <s v="DR"/>
    <n v="398181"/>
    <n v="809836"/>
    <n v="665218"/>
    <n v="0"/>
    <x v="9"/>
    <n v="69.47"/>
  </r>
  <r>
    <x v="3"/>
    <n v="90199"/>
    <s v="City of Madera"/>
    <x v="1"/>
    <s v="DR"/>
    <n v="398181"/>
    <n v="809836"/>
    <n v="665218"/>
    <n v="0"/>
    <x v="10"/>
    <n v="2.6704358244720683"/>
  </r>
  <r>
    <x v="3"/>
    <n v="90199"/>
    <s v="City of Madera"/>
    <x v="1"/>
    <s v="DR"/>
    <n v="398181"/>
    <n v="809836"/>
    <n v="665218"/>
    <n v="0"/>
    <x v="11"/>
    <n v="0.21079999999999999"/>
  </r>
  <r>
    <x v="3"/>
    <n v="90199"/>
    <s v="City of Madera"/>
    <x v="1"/>
    <s v="DR"/>
    <n v="398181"/>
    <n v="809836"/>
    <n v="665218"/>
    <n v="0"/>
    <x v="12"/>
    <n v="2.4505011065631646E-2"/>
  </r>
  <r>
    <x v="3"/>
    <n v="90199"/>
    <s v="City of Madera"/>
    <x v="1"/>
    <s v="DR"/>
    <n v="398181"/>
    <n v="809836"/>
    <n v="665218"/>
    <n v="0"/>
    <x v="13"/>
    <n v="5.4"/>
  </r>
  <r>
    <x v="4"/>
    <n v="90199"/>
    <s v="City of Madera"/>
    <x v="0"/>
    <s v="MB"/>
    <n v="451870"/>
    <n v="927853"/>
    <n v="755234"/>
    <n v="0"/>
    <x v="0"/>
    <n v="66225"/>
  </r>
  <r>
    <x v="4"/>
    <n v="90199"/>
    <s v="City of Madera"/>
    <x v="0"/>
    <s v="MB"/>
    <n v="451870"/>
    <n v="927853"/>
    <n v="755234"/>
    <n v="0"/>
    <x v="1"/>
    <n v="1067811"/>
  </r>
  <r>
    <x v="4"/>
    <n v="90199"/>
    <s v="City of Madera"/>
    <x v="0"/>
    <s v="MB"/>
    <n v="451870"/>
    <n v="927853"/>
    <n v="755234"/>
    <n v="0"/>
    <x v="2"/>
    <n v="97935"/>
  </r>
  <r>
    <x v="4"/>
    <n v="90199"/>
    <s v="City of Madera"/>
    <x v="0"/>
    <s v="MB"/>
    <n v="451870"/>
    <n v="927853"/>
    <n v="755234"/>
    <n v="0"/>
    <x v="3"/>
    <n v="204726"/>
  </r>
  <r>
    <x v="4"/>
    <n v="90199"/>
    <s v="City of Madera"/>
    <x v="0"/>
    <s v="MB"/>
    <n v="451870"/>
    <n v="927853"/>
    <n v="755234"/>
    <n v="0"/>
    <x v="4"/>
    <n v="15495"/>
  </r>
  <r>
    <x v="4"/>
    <n v="90199"/>
    <s v="City of Madera"/>
    <x v="0"/>
    <s v="MB"/>
    <n v="451870"/>
    <n v="927853"/>
    <n v="755234"/>
    <n v="0"/>
    <x v="5"/>
    <n v="111564"/>
  </r>
  <r>
    <x v="4"/>
    <n v="90199"/>
    <s v="City of Madera"/>
    <x v="0"/>
    <s v="MB"/>
    <n v="451870"/>
    <n v="927853"/>
    <n v="755234"/>
    <n v="0"/>
    <x v="6"/>
    <n v="8"/>
  </r>
  <r>
    <x v="4"/>
    <n v="90199"/>
    <s v="City of Madera"/>
    <x v="0"/>
    <s v="MB"/>
    <n v="451870"/>
    <n v="927853"/>
    <n v="755234"/>
    <n v="0"/>
    <x v="7"/>
    <n v="9.57"/>
  </r>
  <r>
    <x v="4"/>
    <n v="90199"/>
    <s v="City of Madera"/>
    <x v="0"/>
    <s v="MB"/>
    <n v="451870"/>
    <n v="927853"/>
    <n v="755234"/>
    <n v="0"/>
    <x v="8"/>
    <n v="5.2157999999999998"/>
  </r>
  <r>
    <x v="4"/>
    <n v="90199"/>
    <s v="City of Madera"/>
    <x v="0"/>
    <s v="MB"/>
    <n v="451870"/>
    <n v="927853"/>
    <n v="755234"/>
    <n v="0"/>
    <x v="9"/>
    <n v="68.91"/>
  </r>
  <r>
    <x v="4"/>
    <n v="90199"/>
    <s v="City of Madera"/>
    <x v="0"/>
    <s v="MB"/>
    <n v="451870"/>
    <n v="927853"/>
    <n v="755234"/>
    <n v="0"/>
    <x v="10"/>
    <n v="7.2"/>
  </r>
  <r>
    <x v="4"/>
    <n v="90199"/>
    <s v="City of Madera"/>
    <x v="0"/>
    <s v="MB"/>
    <n v="451870"/>
    <n v="927853"/>
    <n v="755234"/>
    <n v="0"/>
    <x v="11"/>
    <n v="0.54490000000000005"/>
  </r>
  <r>
    <x v="4"/>
    <n v="90199"/>
    <s v="City of Madera"/>
    <x v="0"/>
    <s v="MB"/>
    <n v="451870"/>
    <n v="927853"/>
    <n v="755234"/>
    <n v="0"/>
    <x v="12"/>
    <n v="9.1715668784082577E-2"/>
  </r>
  <r>
    <x v="4"/>
    <n v="90199"/>
    <s v="City of Madera"/>
    <x v="0"/>
    <s v="MB"/>
    <n v="451870"/>
    <n v="927853"/>
    <n v="755234"/>
    <n v="0"/>
    <x v="13"/>
    <n v="9.1"/>
  </r>
  <r>
    <x v="4"/>
    <n v="90199"/>
    <s v="City of Madera"/>
    <x v="1"/>
    <s v="DR"/>
    <n v="451870"/>
    <n v="927853"/>
    <n v="755234"/>
    <n v="0"/>
    <x v="0"/>
    <n v="66225"/>
  </r>
  <r>
    <x v="4"/>
    <n v="90199"/>
    <s v="City of Madera"/>
    <x v="1"/>
    <s v="DR"/>
    <n v="451870"/>
    <n v="927853"/>
    <n v="755234"/>
    <n v="0"/>
    <x v="1"/>
    <n v="1067146"/>
  </r>
  <r>
    <x v="4"/>
    <n v="90199"/>
    <s v="City of Madera"/>
    <x v="1"/>
    <s v="DR"/>
    <n v="451870"/>
    <n v="927853"/>
    <n v="755234"/>
    <n v="0"/>
    <x v="2"/>
    <n v="21128"/>
  </r>
  <r>
    <x v="4"/>
    <n v="90199"/>
    <s v="City of Madera"/>
    <x v="1"/>
    <s v="DR"/>
    <n v="451870"/>
    <n v="927853"/>
    <n v="755234"/>
    <n v="0"/>
    <x v="3"/>
    <n v="149147"/>
  </r>
  <r>
    <x v="4"/>
    <n v="90199"/>
    <s v="City of Madera"/>
    <x v="1"/>
    <s v="DR"/>
    <n v="451870"/>
    <n v="927853"/>
    <n v="755234"/>
    <n v="0"/>
    <x v="4"/>
    <n v="11179"/>
  </r>
  <r>
    <x v="4"/>
    <n v="90199"/>
    <s v="City of Madera"/>
    <x v="1"/>
    <s v="DR"/>
    <n v="451870"/>
    <n v="927853"/>
    <n v="755234"/>
    <n v="0"/>
    <x v="5"/>
    <n v="32224"/>
  </r>
  <r>
    <x v="4"/>
    <n v="90199"/>
    <s v="City of Madera"/>
    <x v="1"/>
    <s v="DR"/>
    <n v="451870"/>
    <n v="927853"/>
    <n v="755234"/>
    <n v="0"/>
    <x v="6"/>
    <n v="9"/>
  </r>
  <r>
    <x v="4"/>
    <n v="90199"/>
    <s v="City of Madera"/>
    <x v="1"/>
    <s v="DR"/>
    <n v="451870"/>
    <n v="927853"/>
    <n v="755234"/>
    <n v="0"/>
    <x v="7"/>
    <n v="33.119999999999997"/>
  </r>
  <r>
    <x v="4"/>
    <n v="90199"/>
    <s v="City of Madera"/>
    <x v="1"/>
    <s v="DR"/>
    <n v="451870"/>
    <n v="927853"/>
    <n v="755234"/>
    <n v="0"/>
    <x v="8"/>
    <n v="7.1550000000000002"/>
  </r>
  <r>
    <x v="4"/>
    <n v="90199"/>
    <s v="City of Madera"/>
    <x v="1"/>
    <s v="DR"/>
    <n v="451870"/>
    <n v="927853"/>
    <n v="755234"/>
    <n v="0"/>
    <x v="9"/>
    <n v="95.46"/>
  </r>
  <r>
    <x v="4"/>
    <n v="90199"/>
    <s v="City of Madera"/>
    <x v="1"/>
    <s v="DR"/>
    <n v="451870"/>
    <n v="927853"/>
    <n v="755234"/>
    <n v="0"/>
    <x v="10"/>
    <n v="2.8825476339565257"/>
  </r>
  <r>
    <x v="4"/>
    <n v="90199"/>
    <s v="City of Madera"/>
    <x v="1"/>
    <s v="DR"/>
    <n v="451870"/>
    <n v="927853"/>
    <n v="755234"/>
    <n v="0"/>
    <x v="11"/>
    <n v="0.21609999999999999"/>
  </r>
  <r>
    <x v="4"/>
    <n v="90199"/>
    <s v="City of Madera"/>
    <x v="1"/>
    <s v="DR"/>
    <n v="451870"/>
    <n v="927853"/>
    <n v="755234"/>
    <n v="0"/>
    <x v="12"/>
    <n v="1.9798603002775628E-2"/>
  </r>
  <r>
    <x v="4"/>
    <n v="90199"/>
    <s v="City of Madera"/>
    <x v="1"/>
    <s v="DR"/>
    <n v="451870"/>
    <n v="927853"/>
    <n v="755234"/>
    <n v="0"/>
    <x v="13"/>
    <n v="6.4"/>
  </r>
  <r>
    <x v="5"/>
    <n v="90199"/>
    <s v="City of Madera"/>
    <x v="0"/>
    <s v="MB"/>
    <n v="426337"/>
    <n v="909581"/>
    <n v="813957"/>
    <n v="0"/>
    <x v="0"/>
    <n v="66225"/>
  </r>
  <r>
    <x v="5"/>
    <n v="90199"/>
    <s v="City of Madera"/>
    <x v="0"/>
    <s v="MB"/>
    <n v="426337"/>
    <n v="909581"/>
    <n v="813957"/>
    <n v="0"/>
    <x v="1"/>
    <n v="1067697"/>
  </r>
  <r>
    <x v="5"/>
    <n v="90199"/>
    <s v="City of Madera"/>
    <x v="0"/>
    <s v="MB"/>
    <n v="426337"/>
    <n v="909581"/>
    <n v="813957"/>
    <n v="0"/>
    <x v="2"/>
    <n v="126876"/>
  </r>
  <r>
    <x v="5"/>
    <n v="90199"/>
    <s v="City of Madera"/>
    <x v="0"/>
    <s v="MB"/>
    <n v="426337"/>
    <n v="909581"/>
    <n v="813957"/>
    <n v="0"/>
    <x v="3"/>
    <n v="242305"/>
  </r>
  <r>
    <x v="5"/>
    <n v="90199"/>
    <s v="City of Madera"/>
    <x v="0"/>
    <s v="MB"/>
    <n v="426337"/>
    <n v="909581"/>
    <n v="813957"/>
    <n v="0"/>
    <x v="4"/>
    <n v="19119"/>
  </r>
  <r>
    <x v="5"/>
    <n v="90199"/>
    <s v="City of Madera"/>
    <x v="0"/>
    <s v="MB"/>
    <n v="426337"/>
    <n v="909581"/>
    <n v="813957"/>
    <n v="0"/>
    <x v="5"/>
    <n v="89650"/>
  </r>
  <r>
    <x v="5"/>
    <n v="90199"/>
    <s v="City of Madera"/>
    <x v="0"/>
    <s v="MB"/>
    <n v="426337"/>
    <n v="909581"/>
    <n v="813957"/>
    <n v="0"/>
    <x v="6"/>
    <n v="8"/>
  </r>
  <r>
    <x v="5"/>
    <n v="90199"/>
    <s v="City of Madera"/>
    <x v="0"/>
    <s v="MB"/>
    <n v="426337"/>
    <n v="909581"/>
    <n v="813957"/>
    <n v="0"/>
    <x v="7"/>
    <n v="11.91"/>
  </r>
  <r>
    <x v="5"/>
    <n v="90199"/>
    <s v="City of Madera"/>
    <x v="0"/>
    <s v="MB"/>
    <n v="426337"/>
    <n v="909581"/>
    <n v="813957"/>
    <n v="0"/>
    <x v="8"/>
    <n v="4.4063999999999997"/>
  </r>
  <r>
    <x v="5"/>
    <n v="90199"/>
    <s v="City of Madera"/>
    <x v="0"/>
    <s v="MB"/>
    <n v="426337"/>
    <n v="909581"/>
    <n v="813957"/>
    <n v="0"/>
    <x v="9"/>
    <n v="55.84"/>
  </r>
  <r>
    <x v="5"/>
    <n v="90199"/>
    <s v="City of Madera"/>
    <x v="0"/>
    <s v="MB"/>
    <n v="426337"/>
    <n v="909581"/>
    <n v="813957"/>
    <n v="0"/>
    <x v="10"/>
    <n v="4.6890527747267114"/>
  </r>
  <r>
    <x v="5"/>
    <n v="90199"/>
    <s v="City of Madera"/>
    <x v="0"/>
    <s v="MB"/>
    <n v="426337"/>
    <n v="909581"/>
    <n v="813957"/>
    <n v="0"/>
    <x v="11"/>
    <n v="0.37"/>
  </r>
  <r>
    <x v="5"/>
    <n v="90199"/>
    <s v="City of Madera"/>
    <x v="0"/>
    <s v="MB"/>
    <n v="426337"/>
    <n v="909581"/>
    <n v="813957"/>
    <n v="0"/>
    <x v="12"/>
    <n v="0.11883146623058789"/>
  </r>
  <r>
    <x v="5"/>
    <n v="90199"/>
    <s v="City of Madera"/>
    <x v="0"/>
    <s v="MB"/>
    <n v="426337"/>
    <n v="909581"/>
    <n v="813957"/>
    <n v="0"/>
    <x v="13"/>
    <n v="10.1"/>
  </r>
  <r>
    <x v="5"/>
    <n v="90199"/>
    <s v="City of Madera"/>
    <x v="1"/>
    <s v="DR"/>
    <n v="426337"/>
    <n v="909581"/>
    <n v="813957"/>
    <n v="0"/>
    <x v="0"/>
    <n v="66225"/>
  </r>
  <r>
    <x v="5"/>
    <n v="90199"/>
    <s v="City of Madera"/>
    <x v="1"/>
    <s v="DR"/>
    <n v="426337"/>
    <n v="909581"/>
    <n v="813957"/>
    <n v="0"/>
    <x v="1"/>
    <n v="1082178"/>
  </r>
  <r>
    <x v="5"/>
    <n v="90199"/>
    <s v="City of Madera"/>
    <x v="1"/>
    <s v="DR"/>
    <n v="426337"/>
    <n v="909581"/>
    <n v="813957"/>
    <n v="0"/>
    <x v="2"/>
    <n v="46970"/>
  </r>
  <r>
    <x v="5"/>
    <n v="90199"/>
    <s v="City of Madera"/>
    <x v="1"/>
    <s v="DR"/>
    <n v="426337"/>
    <n v="909581"/>
    <n v="813957"/>
    <n v="0"/>
    <x v="3"/>
    <n v="101922"/>
  </r>
  <r>
    <x v="5"/>
    <n v="90199"/>
    <s v="City of Madera"/>
    <x v="1"/>
    <s v="DR"/>
    <n v="426337"/>
    <n v="909581"/>
    <n v="813957"/>
    <n v="0"/>
    <x v="4"/>
    <n v="10313"/>
  </r>
  <r>
    <x v="5"/>
    <n v="90199"/>
    <s v="City of Madera"/>
    <x v="1"/>
    <s v="DR"/>
    <n v="426337"/>
    <n v="909581"/>
    <n v="813957"/>
    <n v="0"/>
    <x v="5"/>
    <n v="20981"/>
  </r>
  <r>
    <x v="5"/>
    <n v="90199"/>
    <s v="City of Madera"/>
    <x v="1"/>
    <s v="DR"/>
    <n v="426337"/>
    <n v="909581"/>
    <n v="813957"/>
    <n v="0"/>
    <x v="6"/>
    <n v="9"/>
  </r>
  <r>
    <x v="5"/>
    <n v="90199"/>
    <s v="City of Madera"/>
    <x v="1"/>
    <s v="DR"/>
    <n v="426337"/>
    <n v="909581"/>
    <n v="813957"/>
    <n v="0"/>
    <x v="7"/>
    <n v="51.58"/>
  </r>
  <r>
    <x v="5"/>
    <n v="90199"/>
    <s v="City of Madera"/>
    <x v="1"/>
    <s v="DR"/>
    <n v="426337"/>
    <n v="909581"/>
    <n v="813957"/>
    <n v="0"/>
    <x v="8"/>
    <n v="10.617699999999999"/>
  </r>
  <r>
    <x v="5"/>
    <n v="90199"/>
    <s v="City of Madera"/>
    <x v="1"/>
    <s v="DR"/>
    <n v="426337"/>
    <n v="909581"/>
    <n v="813957"/>
    <n v="0"/>
    <x v="9"/>
    <n v="104.93"/>
  </r>
  <r>
    <x v="5"/>
    <n v="90199"/>
    <s v="City of Madera"/>
    <x v="1"/>
    <s v="DR"/>
    <n v="426337"/>
    <n v="909581"/>
    <n v="813957"/>
    <n v="0"/>
    <x v="10"/>
    <n v="2.0344225734509842"/>
  </r>
  <r>
    <x v="5"/>
    <n v="90199"/>
    <s v="City of Madera"/>
    <x v="1"/>
    <s v="DR"/>
    <n v="426337"/>
    <n v="909581"/>
    <n v="813957"/>
    <n v="0"/>
    <x v="11"/>
    <n v="0.2059"/>
  </r>
  <r>
    <x v="5"/>
    <n v="90199"/>
    <s v="City of Madera"/>
    <x v="1"/>
    <s v="DR"/>
    <n v="426337"/>
    <n v="909581"/>
    <n v="813957"/>
    <n v="0"/>
    <x v="12"/>
    <n v="4.3403210932027821E-2"/>
  </r>
  <r>
    <x v="5"/>
    <n v="90199"/>
    <s v="City of Madera"/>
    <x v="1"/>
    <s v="DR"/>
    <n v="426337"/>
    <n v="909581"/>
    <n v="813957"/>
    <n v="0"/>
    <x v="13"/>
    <n v="7.4"/>
  </r>
  <r>
    <x v="6"/>
    <n v="90199"/>
    <s v="City of Madera"/>
    <x v="0"/>
    <s v="MB"/>
    <n v="145468"/>
    <n v="1094387"/>
    <n v="1192282"/>
    <n v="0"/>
    <x v="0"/>
    <n v="66225"/>
  </r>
  <r>
    <x v="6"/>
    <n v="90199"/>
    <s v="City of Madera"/>
    <x v="0"/>
    <s v="MB"/>
    <n v="145468"/>
    <n v="1094387"/>
    <n v="1192282"/>
    <n v="0"/>
    <x v="1"/>
    <n v="1327094"/>
  </r>
  <r>
    <x v="6"/>
    <n v="90199"/>
    <s v="City of Madera"/>
    <x v="0"/>
    <s v="MB"/>
    <n v="145468"/>
    <n v="1094387"/>
    <n v="1192282"/>
    <n v="0"/>
    <x v="2"/>
    <n v="81501"/>
  </r>
  <r>
    <x v="6"/>
    <n v="90199"/>
    <s v="City of Madera"/>
    <x v="0"/>
    <s v="MB"/>
    <n v="145468"/>
    <n v="1094387"/>
    <n v="1192282"/>
    <n v="0"/>
    <x v="3"/>
    <n v="241800"/>
  </r>
  <r>
    <x v="6"/>
    <n v="90199"/>
    <s v="City of Madera"/>
    <x v="0"/>
    <s v="MB"/>
    <n v="145468"/>
    <n v="1094387"/>
    <n v="1192282"/>
    <n v="0"/>
    <x v="4"/>
    <n v="17776"/>
  </r>
  <r>
    <x v="6"/>
    <n v="90199"/>
    <s v="City of Madera"/>
    <x v="0"/>
    <s v="MB"/>
    <n v="145468"/>
    <n v="1094387"/>
    <n v="1192282"/>
    <n v="0"/>
    <x v="5"/>
    <n v="82716"/>
  </r>
  <r>
    <x v="6"/>
    <n v="90199"/>
    <s v="City of Madera"/>
    <x v="0"/>
    <s v="MB"/>
    <n v="145468"/>
    <n v="1094387"/>
    <n v="1192282"/>
    <n v="0"/>
    <x v="6"/>
    <n v="16"/>
  </r>
  <r>
    <x v="6"/>
    <n v="90199"/>
    <s v="City of Madera"/>
    <x v="0"/>
    <s v="MB"/>
    <n v="145468"/>
    <n v="1094387"/>
    <n v="1192282"/>
    <n v="0"/>
    <x v="7"/>
    <n v="16.04"/>
  </r>
  <r>
    <x v="6"/>
    <n v="90199"/>
    <s v="City of Madera"/>
    <x v="0"/>
    <s v="MB"/>
    <n v="145468"/>
    <n v="1094387"/>
    <n v="1192282"/>
    <n v="0"/>
    <x v="8"/>
    <n v="5.4884000000000004"/>
  </r>
  <r>
    <x v="6"/>
    <n v="90199"/>
    <s v="City of Madera"/>
    <x v="0"/>
    <s v="MB"/>
    <n v="145468"/>
    <n v="1094387"/>
    <n v="1192282"/>
    <n v="0"/>
    <x v="9"/>
    <n v="74.66"/>
  </r>
  <r>
    <x v="6"/>
    <n v="90199"/>
    <s v="City of Madera"/>
    <x v="0"/>
    <s v="MB"/>
    <n v="145468"/>
    <n v="1094387"/>
    <n v="1192282"/>
    <n v="0"/>
    <x v="10"/>
    <n v="4.653240324032403"/>
  </r>
  <r>
    <x v="6"/>
    <n v="90199"/>
    <s v="City of Madera"/>
    <x v="0"/>
    <s v="MB"/>
    <n v="145468"/>
    <n v="1094387"/>
    <n v="1192282"/>
    <n v="0"/>
    <x v="11"/>
    <n v="0.34210000000000002"/>
  </r>
  <r>
    <x v="6"/>
    <n v="90199"/>
    <s v="City of Madera"/>
    <x v="0"/>
    <s v="MB"/>
    <n v="145468"/>
    <n v="1094387"/>
    <n v="1192282"/>
    <n v="0"/>
    <x v="12"/>
    <n v="6.1413132754725742E-2"/>
  </r>
  <r>
    <x v="6"/>
    <n v="90199"/>
    <s v="City of Madera"/>
    <x v="0"/>
    <s v="MB"/>
    <n v="145468"/>
    <n v="1094387"/>
    <n v="1192282"/>
    <n v="0"/>
    <x v="13"/>
    <n v="6.3"/>
  </r>
  <r>
    <x v="6"/>
    <n v="90199"/>
    <s v="City of Madera"/>
    <x v="1"/>
    <s v="DR"/>
    <n v="145468"/>
    <n v="1094387"/>
    <n v="1192282"/>
    <n v="0"/>
    <x v="0"/>
    <n v="66225"/>
  </r>
  <r>
    <x v="6"/>
    <n v="90199"/>
    <s v="City of Madera"/>
    <x v="1"/>
    <s v="DR"/>
    <n v="145468"/>
    <n v="1094387"/>
    <n v="1192282"/>
    <n v="0"/>
    <x v="1"/>
    <n v="1105043"/>
  </r>
  <r>
    <x v="6"/>
    <n v="90199"/>
    <s v="City of Madera"/>
    <x v="1"/>
    <s v="DR"/>
    <n v="145468"/>
    <n v="1094387"/>
    <n v="1192282"/>
    <n v="0"/>
    <x v="2"/>
    <n v="38637"/>
  </r>
  <r>
    <x v="6"/>
    <n v="90199"/>
    <s v="City of Madera"/>
    <x v="1"/>
    <s v="DR"/>
    <n v="145468"/>
    <n v="1094387"/>
    <n v="1192282"/>
    <n v="0"/>
    <x v="3"/>
    <n v="72130"/>
  </r>
  <r>
    <x v="6"/>
    <n v="90199"/>
    <s v="City of Madera"/>
    <x v="1"/>
    <s v="DR"/>
    <n v="145468"/>
    <n v="1094387"/>
    <n v="1192282"/>
    <n v="0"/>
    <x v="4"/>
    <n v="8047"/>
  </r>
  <r>
    <x v="6"/>
    <n v="90199"/>
    <s v="City of Madera"/>
    <x v="1"/>
    <s v="DR"/>
    <n v="145468"/>
    <n v="1094387"/>
    <n v="1192282"/>
    <n v="0"/>
    <x v="5"/>
    <n v="12755"/>
  </r>
  <r>
    <x v="6"/>
    <n v="90199"/>
    <s v="City of Madera"/>
    <x v="1"/>
    <s v="DR"/>
    <n v="145468"/>
    <n v="1094387"/>
    <n v="1192282"/>
    <n v="0"/>
    <x v="6"/>
    <n v="8"/>
  </r>
  <r>
    <x v="6"/>
    <n v="90199"/>
    <s v="City of Madera"/>
    <x v="1"/>
    <s v="DR"/>
    <n v="145468"/>
    <n v="1094387"/>
    <n v="1192282"/>
    <n v="0"/>
    <x v="7"/>
    <n v="86.64"/>
  </r>
  <r>
    <x v="6"/>
    <n v="90199"/>
    <s v="City of Madera"/>
    <x v="1"/>
    <s v="DR"/>
    <n v="145468"/>
    <n v="1094387"/>
    <n v="1192282"/>
    <n v="0"/>
    <x v="8"/>
    <n v="15.3202"/>
  </r>
  <r>
    <x v="6"/>
    <n v="90199"/>
    <s v="City of Madera"/>
    <x v="1"/>
    <s v="DR"/>
    <n v="145468"/>
    <n v="1094387"/>
    <n v="1192282"/>
    <n v="0"/>
    <x v="9"/>
    <n v="137.32"/>
  </r>
  <r>
    <x v="6"/>
    <n v="90199"/>
    <s v="City of Madera"/>
    <x v="1"/>
    <s v="DR"/>
    <n v="145468"/>
    <n v="1094387"/>
    <n v="1192282"/>
    <n v="0"/>
    <x v="10"/>
    <n v="1.5850627563066981"/>
  </r>
  <r>
    <x v="6"/>
    <n v="90199"/>
    <s v="City of Madera"/>
    <x v="1"/>
    <s v="DR"/>
    <n v="145468"/>
    <n v="1094387"/>
    <n v="1192282"/>
    <n v="0"/>
    <x v="11"/>
    <n v="0.17680000000000001"/>
  </r>
  <r>
    <x v="6"/>
    <n v="90199"/>
    <s v="City of Madera"/>
    <x v="1"/>
    <s v="DR"/>
    <n v="145468"/>
    <n v="1094387"/>
    <n v="1192282"/>
    <n v="0"/>
    <x v="12"/>
    <n v="3.4964250259944638E-2"/>
  </r>
  <r>
    <x v="6"/>
    <n v="90199"/>
    <s v="City of Madera"/>
    <x v="1"/>
    <s v="DR"/>
    <n v="145468"/>
    <n v="1094387"/>
    <n v="1192282"/>
    <n v="0"/>
    <x v="13"/>
    <n v="7.3"/>
  </r>
  <r>
    <x v="7"/>
    <n v="90199"/>
    <s v="City of Madera"/>
    <x v="0"/>
    <s v="MB"/>
    <n v="25330"/>
    <n v="1270464"/>
    <n v="1097845"/>
    <n v="0"/>
    <x v="0"/>
    <n v="66225"/>
  </r>
  <r>
    <x v="7"/>
    <n v="90199"/>
    <s v="City of Madera"/>
    <x v="0"/>
    <s v="MB"/>
    <n v="25330"/>
    <n v="1270464"/>
    <n v="1097845"/>
    <n v="0"/>
    <x v="1"/>
    <n v="1377788"/>
  </r>
  <r>
    <x v="7"/>
    <n v="90199"/>
    <s v="City of Madera"/>
    <x v="0"/>
    <s v="MB"/>
    <n v="25330"/>
    <n v="1270464"/>
    <n v="1097845"/>
    <n v="0"/>
    <x v="2"/>
    <n v="0"/>
  </r>
  <r>
    <x v="7"/>
    <n v="90199"/>
    <s v="City of Madera"/>
    <x v="0"/>
    <s v="MB"/>
    <n v="25330"/>
    <n v="1270464"/>
    <n v="1097845"/>
    <n v="0"/>
    <x v="3"/>
    <n v="212951"/>
  </r>
  <r>
    <x v="7"/>
    <n v="90199"/>
    <s v="City of Madera"/>
    <x v="0"/>
    <s v="MB"/>
    <n v="25330"/>
    <n v="1270464"/>
    <n v="1097845"/>
    <n v="0"/>
    <x v="4"/>
    <n v="16171"/>
  </r>
  <r>
    <x v="7"/>
    <n v="90199"/>
    <s v="City of Madera"/>
    <x v="0"/>
    <s v="MB"/>
    <n v="25330"/>
    <n v="1270464"/>
    <n v="1097845"/>
    <n v="0"/>
    <x v="5"/>
    <n v="55734"/>
  </r>
  <r>
    <x v="7"/>
    <n v="90199"/>
    <s v="City of Madera"/>
    <x v="0"/>
    <s v="MB"/>
    <n v="25330"/>
    <n v="1270464"/>
    <n v="1097845"/>
    <n v="0"/>
    <x v="6"/>
    <n v="13"/>
  </r>
  <r>
    <x v="7"/>
    <n v="90199"/>
    <s v="City of Madera"/>
    <x v="0"/>
    <s v="MB"/>
    <n v="25330"/>
    <n v="1270464"/>
    <n v="1097845"/>
    <n v="0"/>
    <x v="7"/>
    <n v="24.72"/>
  </r>
  <r>
    <x v="7"/>
    <n v="90199"/>
    <s v="City of Madera"/>
    <x v="0"/>
    <s v="MB"/>
    <n v="25330"/>
    <n v="1270464"/>
    <n v="1097845"/>
    <n v="0"/>
    <x v="8"/>
    <n v="6.47"/>
  </r>
  <r>
    <x v="7"/>
    <n v="90199"/>
    <s v="City of Madera"/>
    <x v="0"/>
    <s v="MB"/>
    <n v="25330"/>
    <n v="1270464"/>
    <n v="1097845"/>
    <n v="0"/>
    <x v="9"/>
    <n v="85.2"/>
  </r>
  <r>
    <x v="7"/>
    <n v="90199"/>
    <s v="City of Madera"/>
    <x v="0"/>
    <s v="MB"/>
    <n v="25330"/>
    <n v="1270464"/>
    <n v="1097845"/>
    <n v="0"/>
    <x v="10"/>
    <n v="3.446540102652897"/>
  </r>
  <r>
    <x v="7"/>
    <n v="90199"/>
    <s v="City of Madera"/>
    <x v="0"/>
    <s v="MB"/>
    <n v="25330"/>
    <n v="1270464"/>
    <n v="1097845"/>
    <n v="0"/>
    <x v="11"/>
    <n v="0.26169999999999999"/>
  </r>
  <r>
    <x v="7"/>
    <n v="90199"/>
    <s v="City of Madera"/>
    <x v="0"/>
    <s v="MB"/>
    <n v="25330"/>
    <n v="1270464"/>
    <n v="1097845"/>
    <n v="0"/>
    <x v="12"/>
    <n v="0"/>
  </r>
  <r>
    <x v="7"/>
    <n v="90199"/>
    <s v="City of Madera"/>
    <x v="0"/>
    <s v="MB"/>
    <n v="25330"/>
    <n v="1270464"/>
    <n v="1097845"/>
    <n v="0"/>
    <x v="13"/>
    <n v="4.5"/>
  </r>
  <r>
    <x v="7"/>
    <n v="90199"/>
    <s v="City of Madera"/>
    <x v="1"/>
    <s v="DR"/>
    <n v="25330"/>
    <n v="1270464"/>
    <n v="1097845"/>
    <n v="0"/>
    <x v="0"/>
    <n v="66225"/>
  </r>
  <r>
    <x v="7"/>
    <n v="90199"/>
    <s v="City of Madera"/>
    <x v="1"/>
    <s v="DR"/>
    <n v="25330"/>
    <n v="1270464"/>
    <n v="1097845"/>
    <n v="0"/>
    <x v="1"/>
    <n v="1015851"/>
  </r>
  <r>
    <x v="7"/>
    <n v="90199"/>
    <s v="City of Madera"/>
    <x v="1"/>
    <s v="DR"/>
    <n v="25330"/>
    <n v="1270464"/>
    <n v="1097845"/>
    <n v="0"/>
    <x v="2"/>
    <n v="0"/>
  </r>
  <r>
    <x v="7"/>
    <n v="90199"/>
    <s v="City of Madera"/>
    <x v="1"/>
    <s v="DR"/>
    <n v="25330"/>
    <n v="1270464"/>
    <n v="1097845"/>
    <n v="0"/>
    <x v="3"/>
    <n v="30721"/>
  </r>
  <r>
    <x v="7"/>
    <n v="90199"/>
    <s v="City of Madera"/>
    <x v="1"/>
    <s v="DR"/>
    <n v="25330"/>
    <n v="1270464"/>
    <n v="1097845"/>
    <n v="0"/>
    <x v="4"/>
    <n v="2996"/>
  </r>
  <r>
    <x v="7"/>
    <n v="90199"/>
    <s v="City of Madera"/>
    <x v="1"/>
    <s v="DR"/>
    <n v="25330"/>
    <n v="1270464"/>
    <n v="1097845"/>
    <n v="0"/>
    <x v="5"/>
    <n v="4345"/>
  </r>
  <r>
    <x v="7"/>
    <n v="90199"/>
    <s v="City of Madera"/>
    <x v="1"/>
    <s v="DR"/>
    <n v="25330"/>
    <n v="1270464"/>
    <n v="1097845"/>
    <n v="0"/>
    <x v="6"/>
    <n v="6"/>
  </r>
  <r>
    <x v="7"/>
    <n v="90199"/>
    <s v="City of Madera"/>
    <x v="1"/>
    <s v="DR"/>
    <n v="25330"/>
    <n v="1270464"/>
    <n v="1097845"/>
    <n v="0"/>
    <x v="7"/>
    <n v="233.8"/>
  </r>
  <r>
    <x v="7"/>
    <n v="90199"/>
    <s v="City of Madera"/>
    <x v="1"/>
    <s v="DR"/>
    <n v="25330"/>
    <n v="1270464"/>
    <n v="1097845"/>
    <n v="0"/>
    <x v="8"/>
    <n v="33.067"/>
  </r>
  <r>
    <x v="7"/>
    <n v="90199"/>
    <s v="City of Madera"/>
    <x v="1"/>
    <s v="DR"/>
    <n v="25330"/>
    <n v="1270464"/>
    <n v="1097845"/>
    <n v="0"/>
    <x v="9"/>
    <n v="339.07"/>
  </r>
  <r>
    <x v="7"/>
    <n v="90199"/>
    <s v="City of Madera"/>
    <x v="1"/>
    <s v="DR"/>
    <n v="25330"/>
    <n v="1270464"/>
    <n v="1097845"/>
    <n v="0"/>
    <x v="10"/>
    <n v="1.4502670226969292"/>
  </r>
  <r>
    <x v="7"/>
    <n v="90199"/>
    <s v="City of Madera"/>
    <x v="1"/>
    <s v="DR"/>
    <n v="25330"/>
    <n v="1270464"/>
    <n v="1097845"/>
    <n v="0"/>
    <x v="11"/>
    <n v="0.1414"/>
  </r>
  <r>
    <x v="7"/>
    <n v="90199"/>
    <s v="City of Madera"/>
    <x v="1"/>
    <s v="DR"/>
    <n v="25330"/>
    <n v="1270464"/>
    <n v="1097845"/>
    <n v="0"/>
    <x v="12"/>
    <n v="0"/>
  </r>
  <r>
    <x v="7"/>
    <n v="90199"/>
    <s v="City of Madera"/>
    <x v="1"/>
    <s v="DR"/>
    <n v="25330"/>
    <n v="1270464"/>
    <n v="1097845"/>
    <n v="0"/>
    <x v="13"/>
    <n v="7.5"/>
  </r>
  <r>
    <x v="8"/>
    <n v="90199"/>
    <s v="City of Madera"/>
    <x v="0"/>
    <s v="MB"/>
    <n v="37641"/>
    <n v="2619708"/>
    <n v="204038"/>
    <n v="0"/>
    <x v="0"/>
    <n v="66225"/>
  </r>
  <r>
    <x v="8"/>
    <n v="90199"/>
    <s v="City of Madera"/>
    <x v="0"/>
    <s v="MB"/>
    <n v="37641"/>
    <n v="2619708"/>
    <n v="204038"/>
    <n v="0"/>
    <x v="1"/>
    <n v="1681016"/>
  </r>
  <r>
    <x v="8"/>
    <n v="90199"/>
    <s v="City of Madera"/>
    <x v="0"/>
    <s v="MB"/>
    <n v="37641"/>
    <n v="2619708"/>
    <n v="204038"/>
    <n v="0"/>
    <x v="2"/>
    <n v="0"/>
  </r>
  <r>
    <x v="8"/>
    <n v="90199"/>
    <s v="City of Madera"/>
    <x v="0"/>
    <s v="MB"/>
    <n v="37641"/>
    <n v="2619708"/>
    <n v="204038"/>
    <n v="0"/>
    <x v="3"/>
    <n v="182317"/>
  </r>
  <r>
    <x v="8"/>
    <n v="90199"/>
    <s v="City of Madera"/>
    <x v="0"/>
    <s v="MB"/>
    <n v="37641"/>
    <n v="2619708"/>
    <n v="204038"/>
    <n v="0"/>
    <x v="4"/>
    <n v="11824"/>
  </r>
  <r>
    <x v="8"/>
    <n v="90199"/>
    <s v="City of Madera"/>
    <x v="0"/>
    <s v="MB"/>
    <n v="37641"/>
    <n v="2619708"/>
    <n v="204038"/>
    <n v="0"/>
    <x v="5"/>
    <n v="45912"/>
  </r>
  <r>
    <x v="8"/>
    <n v="90199"/>
    <s v="City of Madera"/>
    <x v="0"/>
    <s v="MB"/>
    <n v="37641"/>
    <n v="2619708"/>
    <n v="204038"/>
    <n v="0"/>
    <x v="6"/>
    <n v="13"/>
  </r>
  <r>
    <x v="8"/>
    <n v="90199"/>
    <s v="City of Madera"/>
    <x v="0"/>
    <s v="MB"/>
    <n v="37641"/>
    <n v="2619708"/>
    <n v="204038"/>
    <n v="0"/>
    <x v="7"/>
    <n v="36.61"/>
  </r>
  <r>
    <x v="8"/>
    <n v="90199"/>
    <s v="City of Madera"/>
    <x v="0"/>
    <s v="MB"/>
    <n v="37641"/>
    <n v="2619708"/>
    <n v="204038"/>
    <n v="0"/>
    <x v="8"/>
    <n v="9.2202999999999999"/>
  </r>
  <r>
    <x v="8"/>
    <n v="90199"/>
    <s v="City of Madera"/>
    <x v="0"/>
    <s v="MB"/>
    <n v="37641"/>
    <n v="2619708"/>
    <n v="204038"/>
    <n v="0"/>
    <x v="9"/>
    <n v="142.16999999999999"/>
  </r>
  <r>
    <x v="8"/>
    <n v="90199"/>
    <s v="City of Madera"/>
    <x v="0"/>
    <s v="MB"/>
    <n v="37641"/>
    <n v="2619708"/>
    <n v="204038"/>
    <n v="0"/>
    <x v="10"/>
    <n v="3.8829499323410013"/>
  </r>
  <r>
    <x v="8"/>
    <n v="90199"/>
    <s v="City of Madera"/>
    <x v="0"/>
    <s v="MB"/>
    <n v="37641"/>
    <n v="2619708"/>
    <n v="204038"/>
    <n v="0"/>
    <x v="11"/>
    <n v="0.25180000000000002"/>
  </r>
  <r>
    <x v="8"/>
    <n v="90199"/>
    <s v="City of Madera"/>
    <x v="0"/>
    <s v="MB"/>
    <n v="37641"/>
    <n v="2619708"/>
    <n v="204038"/>
    <n v="0"/>
    <x v="12"/>
    <n v="0"/>
  </r>
  <r>
    <x v="8"/>
    <n v="90199"/>
    <s v="City of Madera"/>
    <x v="0"/>
    <s v="MB"/>
    <n v="37641"/>
    <n v="2619708"/>
    <n v="204038"/>
    <n v="0"/>
    <x v="13"/>
    <n v="5.5"/>
  </r>
  <r>
    <x v="8"/>
    <n v="90199"/>
    <s v="City of Madera"/>
    <x v="1"/>
    <s v="DR"/>
    <n v="37641"/>
    <n v="2619708"/>
    <n v="204038"/>
    <n v="0"/>
    <x v="0"/>
    <n v="66225"/>
  </r>
  <r>
    <x v="8"/>
    <n v="90199"/>
    <s v="City of Madera"/>
    <x v="1"/>
    <s v="DR"/>
    <n v="37641"/>
    <n v="2619708"/>
    <n v="204038"/>
    <n v="0"/>
    <x v="1"/>
    <n v="1180371"/>
  </r>
  <r>
    <x v="8"/>
    <n v="90199"/>
    <s v="City of Madera"/>
    <x v="1"/>
    <s v="DR"/>
    <n v="37641"/>
    <n v="2619708"/>
    <n v="204038"/>
    <n v="0"/>
    <x v="2"/>
    <n v="0"/>
  </r>
  <r>
    <x v="8"/>
    <n v="90199"/>
    <s v="City of Madera"/>
    <x v="1"/>
    <s v="DR"/>
    <n v="37641"/>
    <n v="2619708"/>
    <n v="204038"/>
    <n v="0"/>
    <x v="3"/>
    <n v="62178"/>
  </r>
  <r>
    <x v="8"/>
    <n v="90199"/>
    <s v="City of Madera"/>
    <x v="1"/>
    <s v="DR"/>
    <n v="37641"/>
    <n v="2619708"/>
    <n v="204038"/>
    <n v="0"/>
    <x v="4"/>
    <n v="4183"/>
  </r>
  <r>
    <x v="8"/>
    <n v="90199"/>
    <s v="City of Madera"/>
    <x v="1"/>
    <s v="DR"/>
    <n v="37641"/>
    <n v="2619708"/>
    <n v="204038"/>
    <n v="0"/>
    <x v="5"/>
    <n v="6252"/>
  </r>
  <r>
    <x v="8"/>
    <n v="90199"/>
    <s v="City of Madera"/>
    <x v="1"/>
    <s v="DR"/>
    <n v="37641"/>
    <n v="2619708"/>
    <n v="204038"/>
    <n v="0"/>
    <x v="6"/>
    <n v="6"/>
  </r>
  <r>
    <x v="8"/>
    <n v="90199"/>
    <s v="City of Madera"/>
    <x v="1"/>
    <s v="DR"/>
    <n v="37641"/>
    <n v="2619708"/>
    <n v="204038"/>
    <n v="0"/>
    <x v="7"/>
    <n v="188.8"/>
  </r>
  <r>
    <x v="8"/>
    <n v="90199"/>
    <s v="City of Madera"/>
    <x v="1"/>
    <s v="DR"/>
    <n v="37641"/>
    <n v="2619708"/>
    <n v="204038"/>
    <n v="0"/>
    <x v="8"/>
    <n v="18.983699999999999"/>
  </r>
  <r>
    <x v="8"/>
    <n v="90199"/>
    <s v="City of Madera"/>
    <x v="1"/>
    <s v="DR"/>
    <n v="37641"/>
    <n v="2619708"/>
    <n v="204038"/>
    <n v="0"/>
    <x v="9"/>
    <n v="282.18"/>
  </r>
  <r>
    <x v="8"/>
    <n v="90199"/>
    <s v="City of Madera"/>
    <x v="1"/>
    <s v="DR"/>
    <n v="37641"/>
    <n v="2619708"/>
    <n v="204038"/>
    <n v="0"/>
    <x v="10"/>
    <n v="1.4946210853454458"/>
  </r>
  <r>
    <x v="8"/>
    <n v="90199"/>
    <s v="City of Madera"/>
    <x v="1"/>
    <s v="DR"/>
    <n v="37641"/>
    <n v="2619708"/>
    <n v="204038"/>
    <n v="0"/>
    <x v="11"/>
    <n v="0.10059999999999999"/>
  </r>
  <r>
    <x v="8"/>
    <n v="90199"/>
    <s v="City of Madera"/>
    <x v="1"/>
    <s v="DR"/>
    <n v="37641"/>
    <n v="2619708"/>
    <n v="204038"/>
    <n v="0"/>
    <x v="12"/>
    <n v="0"/>
  </r>
  <r>
    <x v="8"/>
    <n v="90199"/>
    <s v="City of Madera"/>
    <x v="1"/>
    <s v="DR"/>
    <n v="37641"/>
    <n v="2619708"/>
    <n v="204038"/>
    <n v="0"/>
    <x v="13"/>
    <n v="8.5"/>
  </r>
  <r>
    <x v="9"/>
    <n v="90199"/>
    <s v="City of Madera"/>
    <x v="0"/>
    <s v="MB"/>
    <n v="32755"/>
    <n v="1162309"/>
    <n v="1586794"/>
    <n v="0"/>
    <x v="0"/>
    <n v="66225"/>
  </r>
  <r>
    <x v="9"/>
    <n v="90199"/>
    <s v="City of Madera"/>
    <x v="0"/>
    <s v="MB"/>
    <n v="32755"/>
    <n v="1162309"/>
    <n v="1586794"/>
    <n v="0"/>
    <x v="1"/>
    <n v="1584061"/>
  </r>
  <r>
    <x v="9"/>
    <n v="90199"/>
    <s v="City of Madera"/>
    <x v="0"/>
    <s v="MB"/>
    <n v="32755"/>
    <n v="1162309"/>
    <n v="1586794"/>
    <n v="0"/>
    <x v="2"/>
    <n v="0"/>
  </r>
  <r>
    <x v="9"/>
    <n v="90199"/>
    <s v="City of Madera"/>
    <x v="0"/>
    <s v="MB"/>
    <n v="32755"/>
    <n v="1162309"/>
    <n v="1586794"/>
    <n v="0"/>
    <x v="3"/>
    <n v="203428"/>
  </r>
  <r>
    <x v="9"/>
    <n v="90199"/>
    <s v="City of Madera"/>
    <x v="0"/>
    <s v="MB"/>
    <n v="32755"/>
    <n v="1162309"/>
    <n v="1586794"/>
    <n v="0"/>
    <x v="4"/>
    <n v="14126"/>
  </r>
  <r>
    <x v="9"/>
    <n v="90199"/>
    <s v="City of Madera"/>
    <x v="0"/>
    <s v="MB"/>
    <n v="32755"/>
    <n v="1162309"/>
    <n v="1586794"/>
    <n v="0"/>
    <x v="5"/>
    <n v="62770"/>
  </r>
  <r>
    <x v="9"/>
    <n v="90199"/>
    <s v="City of Madera"/>
    <x v="0"/>
    <s v="MB"/>
    <n v="32755"/>
    <n v="1162309"/>
    <n v="1586794"/>
    <n v="0"/>
    <x v="6"/>
    <n v="11"/>
  </r>
  <r>
    <x v="9"/>
    <n v="90199"/>
    <s v="City of Madera"/>
    <x v="0"/>
    <s v="MB"/>
    <n v="32755"/>
    <n v="1162309"/>
    <n v="1586794"/>
    <n v="0"/>
    <x v="7"/>
    <n v="25.24"/>
  </r>
  <r>
    <x v="9"/>
    <n v="90199"/>
    <s v="City of Madera"/>
    <x v="0"/>
    <s v="MB"/>
    <n v="32755"/>
    <n v="1162309"/>
    <n v="1586794"/>
    <n v="0"/>
    <x v="8"/>
    <n v="7.7868000000000004"/>
  </r>
  <r>
    <x v="9"/>
    <n v="90199"/>
    <s v="City of Madera"/>
    <x v="0"/>
    <s v="MB"/>
    <n v="32755"/>
    <n v="1162309"/>
    <n v="1586794"/>
    <n v="0"/>
    <x v="9"/>
    <n v="112.14"/>
  </r>
  <r>
    <x v="9"/>
    <n v="90199"/>
    <s v="City of Madera"/>
    <x v="0"/>
    <s v="MB"/>
    <n v="32755"/>
    <n v="1162309"/>
    <n v="1586794"/>
    <n v="0"/>
    <x v="10"/>
    <n v="4.4435792156307521"/>
  </r>
  <r>
    <x v="9"/>
    <n v="90199"/>
    <s v="City of Madera"/>
    <x v="0"/>
    <s v="MB"/>
    <n v="32755"/>
    <n v="1162309"/>
    <n v="1586794"/>
    <n v="0"/>
    <x v="11"/>
    <n v="0.30859999999999999"/>
  </r>
  <r>
    <x v="9"/>
    <n v="90199"/>
    <s v="City of Madera"/>
    <x v="0"/>
    <s v="MB"/>
    <n v="32755"/>
    <n v="1162309"/>
    <n v="1586794"/>
    <n v="0"/>
    <x v="12"/>
    <n v="0"/>
  </r>
  <r>
    <x v="9"/>
    <n v="90199"/>
    <s v="City of Madera"/>
    <x v="0"/>
    <s v="MB"/>
    <n v="32755"/>
    <n v="1162309"/>
    <n v="1586794"/>
    <n v="0"/>
    <x v="13"/>
    <n v="5.4"/>
  </r>
  <r>
    <x v="9"/>
    <n v="90199"/>
    <s v="City of Madera"/>
    <x v="1"/>
    <s v="DR"/>
    <n v="32755"/>
    <n v="1162309"/>
    <n v="1586794"/>
    <n v="0"/>
    <x v="0"/>
    <n v="66225"/>
  </r>
  <r>
    <x v="9"/>
    <n v="90199"/>
    <s v="City of Madera"/>
    <x v="1"/>
    <s v="DR"/>
    <n v="32755"/>
    <n v="1162309"/>
    <n v="1586794"/>
    <n v="0"/>
    <x v="1"/>
    <n v="1197797"/>
  </r>
  <r>
    <x v="9"/>
    <n v="90199"/>
    <s v="City of Madera"/>
    <x v="1"/>
    <s v="DR"/>
    <n v="32755"/>
    <n v="1162309"/>
    <n v="1586794"/>
    <n v="0"/>
    <x v="2"/>
    <n v="904"/>
  </r>
  <r>
    <x v="9"/>
    <n v="90199"/>
    <s v="City of Madera"/>
    <x v="1"/>
    <s v="DR"/>
    <n v="32755"/>
    <n v="1162309"/>
    <n v="1586794"/>
    <n v="0"/>
    <x v="3"/>
    <n v="80387"/>
  </r>
  <r>
    <x v="9"/>
    <n v="90199"/>
    <s v="City of Madera"/>
    <x v="1"/>
    <s v="DR"/>
    <n v="32755"/>
    <n v="1162309"/>
    <n v="1586794"/>
    <n v="0"/>
    <x v="4"/>
    <n v="5760"/>
  </r>
  <r>
    <x v="9"/>
    <n v="90199"/>
    <s v="City of Madera"/>
    <x v="1"/>
    <s v="DR"/>
    <n v="32755"/>
    <n v="1162309"/>
    <n v="1586794"/>
    <n v="0"/>
    <x v="5"/>
    <n v="13164"/>
  </r>
  <r>
    <x v="9"/>
    <n v="90199"/>
    <s v="City of Madera"/>
    <x v="1"/>
    <s v="DR"/>
    <n v="32755"/>
    <n v="1162309"/>
    <n v="1586794"/>
    <n v="0"/>
    <x v="6"/>
    <n v="6"/>
  </r>
  <r>
    <x v="9"/>
    <n v="90199"/>
    <s v="City of Madera"/>
    <x v="1"/>
    <s v="DR"/>
    <n v="32755"/>
    <n v="1162309"/>
    <n v="1586794"/>
    <n v="0"/>
    <x v="7"/>
    <n v="90.99"/>
  </r>
  <r>
    <x v="9"/>
    <n v="90199"/>
    <s v="City of Madera"/>
    <x v="1"/>
    <s v="DR"/>
    <n v="32755"/>
    <n v="1162309"/>
    <n v="1586794"/>
    <n v="0"/>
    <x v="8"/>
    <n v="14.900399999999999"/>
  </r>
  <r>
    <x v="9"/>
    <n v="90199"/>
    <s v="City of Madera"/>
    <x v="1"/>
    <s v="DR"/>
    <n v="32755"/>
    <n v="1162309"/>
    <n v="1586794"/>
    <n v="0"/>
    <x v="9"/>
    <n v="207.95"/>
  </r>
  <r>
    <x v="9"/>
    <n v="90199"/>
    <s v="City of Madera"/>
    <x v="1"/>
    <s v="DR"/>
    <n v="32755"/>
    <n v="1162309"/>
    <n v="1586794"/>
    <n v="0"/>
    <x v="10"/>
    <n v="2.2854166666666669"/>
  </r>
  <r>
    <x v="9"/>
    <n v="90199"/>
    <s v="City of Madera"/>
    <x v="1"/>
    <s v="DR"/>
    <n v="32755"/>
    <n v="1162309"/>
    <n v="1586794"/>
    <n v="0"/>
    <x v="11"/>
    <n v="0.1638"/>
  </r>
  <r>
    <x v="9"/>
    <n v="90199"/>
    <s v="City of Madera"/>
    <x v="1"/>
    <s v="DR"/>
    <n v="32755"/>
    <n v="1162309"/>
    <n v="1586794"/>
    <n v="0"/>
    <x v="12"/>
    <n v="7.5471887139473548E-4"/>
  </r>
  <r>
    <x v="9"/>
    <n v="90199"/>
    <s v="City of Madera"/>
    <x v="1"/>
    <s v="DR"/>
    <n v="32755"/>
    <n v="1162309"/>
    <n v="1586794"/>
    <n v="0"/>
    <x v="13"/>
    <n v="9.5"/>
  </r>
  <r>
    <x v="10"/>
    <n v="90199"/>
    <s v="City of Madera"/>
    <x v="0"/>
    <s v="MB"/>
    <n v="37576"/>
    <n v="1272285"/>
    <n v="1990782"/>
    <n v="0"/>
    <x v="0"/>
    <n v="66225"/>
  </r>
  <r>
    <x v="10"/>
    <n v="90199"/>
    <s v="City of Madera"/>
    <x v="0"/>
    <s v="MB"/>
    <n v="37576"/>
    <n v="1272285"/>
    <n v="1990782"/>
    <n v="0"/>
    <x v="1"/>
    <n v="1949330"/>
  </r>
  <r>
    <x v="10"/>
    <n v="90199"/>
    <s v="City of Madera"/>
    <x v="0"/>
    <s v="MB"/>
    <n v="37576"/>
    <n v="1272285"/>
    <n v="1990782"/>
    <n v="0"/>
    <x v="2"/>
    <n v="0"/>
  </r>
  <r>
    <x v="10"/>
    <n v="90199"/>
    <s v="City of Madera"/>
    <x v="0"/>
    <s v="MB"/>
    <n v="37576"/>
    <n v="1272285"/>
    <n v="1990782"/>
    <n v="0"/>
    <x v="3"/>
    <n v="253314"/>
  </r>
  <r>
    <x v="10"/>
    <n v="90199"/>
    <s v="City of Madera"/>
    <x v="0"/>
    <s v="MB"/>
    <n v="37576"/>
    <n v="1272285"/>
    <n v="1990782"/>
    <n v="0"/>
    <x v="4"/>
    <n v="16823"/>
  </r>
  <r>
    <x v="10"/>
    <n v="90199"/>
    <s v="City of Madera"/>
    <x v="0"/>
    <s v="MB"/>
    <n v="37576"/>
    <n v="1272285"/>
    <n v="1990782"/>
    <n v="0"/>
    <x v="5"/>
    <n v="77213"/>
  </r>
  <r>
    <x v="10"/>
    <n v="90199"/>
    <s v="City of Madera"/>
    <x v="0"/>
    <s v="MB"/>
    <n v="37576"/>
    <n v="1272285"/>
    <n v="1990782"/>
    <n v="0"/>
    <x v="6"/>
    <n v="14"/>
  </r>
  <r>
    <x v="10"/>
    <n v="90199"/>
    <s v="City of Madera"/>
    <x v="0"/>
    <s v="MB"/>
    <n v="37576"/>
    <n v="1272285"/>
    <n v="1990782"/>
    <n v="0"/>
    <x v="7"/>
    <n v="25.25"/>
  </r>
  <r>
    <x v="10"/>
    <n v="90199"/>
    <s v="City of Madera"/>
    <x v="0"/>
    <s v="MB"/>
    <n v="37576"/>
    <n v="1272285"/>
    <n v="1990782"/>
    <n v="0"/>
    <x v="8"/>
    <n v="7.6952999999999996"/>
  </r>
  <r>
    <x v="10"/>
    <n v="90199"/>
    <s v="City of Madera"/>
    <x v="0"/>
    <s v="MB"/>
    <n v="37576"/>
    <n v="1272285"/>
    <n v="1990782"/>
    <n v="0"/>
    <x v="9"/>
    <n v="115.87"/>
  </r>
  <r>
    <x v="10"/>
    <n v="90199"/>
    <s v="City of Madera"/>
    <x v="0"/>
    <s v="MB"/>
    <n v="37576"/>
    <n v="1272285"/>
    <n v="1990782"/>
    <n v="0"/>
    <x v="10"/>
    <n v="4.5897283480948703"/>
  </r>
  <r>
    <x v="10"/>
    <n v="90199"/>
    <s v="City of Madera"/>
    <x v="0"/>
    <s v="MB"/>
    <n v="37576"/>
    <n v="1272285"/>
    <n v="1990782"/>
    <n v="0"/>
    <x v="11"/>
    <n v="0.30480000000000002"/>
  </r>
  <r>
    <x v="10"/>
    <n v="90199"/>
    <s v="City of Madera"/>
    <x v="0"/>
    <s v="MB"/>
    <n v="37576"/>
    <n v="1272285"/>
    <n v="1990782"/>
    <n v="0"/>
    <x v="12"/>
    <n v="0"/>
  </r>
  <r>
    <x v="10"/>
    <n v="90199"/>
    <s v="City of Madera"/>
    <x v="0"/>
    <s v="MB"/>
    <n v="37576"/>
    <n v="1272285"/>
    <n v="1990782"/>
    <n v="0"/>
    <x v="13"/>
    <n v="5.2"/>
  </r>
  <r>
    <x v="10"/>
    <n v="90199"/>
    <s v="City of Madera"/>
    <x v="1"/>
    <s v="DR"/>
    <n v="37576"/>
    <n v="1272285"/>
    <n v="1990782"/>
    <n v="0"/>
    <x v="0"/>
    <n v="66225"/>
  </r>
  <r>
    <x v="10"/>
    <n v="90199"/>
    <s v="City of Madera"/>
    <x v="1"/>
    <s v="DR"/>
    <n v="37576"/>
    <n v="1272285"/>
    <n v="1990782"/>
    <n v="0"/>
    <x v="1"/>
    <n v="1351313"/>
  </r>
  <r>
    <x v="10"/>
    <n v="90199"/>
    <s v="City of Madera"/>
    <x v="1"/>
    <s v="DR"/>
    <n v="37576"/>
    <n v="1272285"/>
    <n v="1990782"/>
    <n v="0"/>
    <x v="2"/>
    <n v="3340"/>
  </r>
  <r>
    <x v="10"/>
    <n v="90199"/>
    <s v="City of Madera"/>
    <x v="1"/>
    <s v="DR"/>
    <n v="37576"/>
    <n v="1272285"/>
    <n v="1990782"/>
    <n v="0"/>
    <x v="3"/>
    <n v="104345"/>
  </r>
  <r>
    <x v="10"/>
    <n v="90199"/>
    <s v="City of Madera"/>
    <x v="1"/>
    <s v="DR"/>
    <n v="37576"/>
    <n v="1272285"/>
    <n v="1990782"/>
    <n v="0"/>
    <x v="4"/>
    <n v="7969"/>
  </r>
  <r>
    <x v="10"/>
    <n v="90199"/>
    <s v="City of Madera"/>
    <x v="1"/>
    <s v="DR"/>
    <n v="37576"/>
    <n v="1272285"/>
    <n v="1990782"/>
    <n v="0"/>
    <x v="5"/>
    <n v="17677"/>
  </r>
  <r>
    <x v="10"/>
    <n v="90199"/>
    <s v="City of Madera"/>
    <x v="1"/>
    <s v="DR"/>
    <n v="37576"/>
    <n v="1272285"/>
    <n v="1990782"/>
    <n v="0"/>
    <x v="6"/>
    <n v="8"/>
  </r>
  <r>
    <x v="10"/>
    <n v="90199"/>
    <s v="City of Madera"/>
    <x v="1"/>
    <s v="DR"/>
    <n v="37576"/>
    <n v="1272285"/>
    <n v="1990782"/>
    <n v="0"/>
    <x v="7"/>
    <n v="76.44"/>
  </r>
  <r>
    <x v="10"/>
    <n v="90199"/>
    <s v="City of Madera"/>
    <x v="1"/>
    <s v="DR"/>
    <n v="37576"/>
    <n v="1272285"/>
    <n v="1990782"/>
    <n v="0"/>
    <x v="8"/>
    <n v="12.9504"/>
  </r>
  <r>
    <x v="10"/>
    <n v="90199"/>
    <s v="City of Madera"/>
    <x v="1"/>
    <s v="DR"/>
    <n v="37576"/>
    <n v="1272285"/>
    <n v="1990782"/>
    <n v="0"/>
    <x v="9"/>
    <n v="169.57"/>
  </r>
  <r>
    <x v="10"/>
    <n v="90199"/>
    <s v="City of Madera"/>
    <x v="1"/>
    <s v="DR"/>
    <n v="37576"/>
    <n v="1272285"/>
    <n v="1990782"/>
    <n v="0"/>
    <x v="10"/>
    <n v="2.2182206048437698"/>
  </r>
  <r>
    <x v="10"/>
    <n v="90199"/>
    <s v="City of Madera"/>
    <x v="1"/>
    <s v="DR"/>
    <n v="37576"/>
    <n v="1272285"/>
    <n v="1990782"/>
    <n v="0"/>
    <x v="11"/>
    <n v="0.1694"/>
  </r>
  <r>
    <x v="10"/>
    <n v="90199"/>
    <s v="City of Madera"/>
    <x v="1"/>
    <s v="DR"/>
    <n v="37576"/>
    <n v="1272285"/>
    <n v="1990782"/>
    <n v="0"/>
    <x v="12"/>
    <n v="2.4716701459987435E-3"/>
  </r>
  <r>
    <x v="10"/>
    <n v="90199"/>
    <s v="City of Madera"/>
    <x v="1"/>
    <s v="DR"/>
    <n v="37576"/>
    <n v="1272285"/>
    <n v="1990782"/>
    <n v="0"/>
    <x v="13"/>
    <n v="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CA6B67-EACF-48C7-9525-575657378A6A}"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5:Q38" firstHeaderRow="1" firstDataRow="2" firstDataCol="1" rowPageCount="1" colPageCount="1"/>
  <pivotFields count="11">
    <pivotField axis="axisRow" showAll="0">
      <items count="12">
        <item x="0"/>
        <item x="1"/>
        <item x="2"/>
        <item x="3"/>
        <item x="4"/>
        <item x="5"/>
        <item x="6"/>
        <item x="7"/>
        <item x="8"/>
        <item x="9"/>
        <item x="10"/>
        <item t="default"/>
      </items>
    </pivotField>
    <pivotField showAll="0"/>
    <pivotField showAll="0"/>
    <pivotField axis="axisCol" showAll="0">
      <items count="3">
        <item x="1"/>
        <item x="0"/>
        <item t="default"/>
      </items>
    </pivotField>
    <pivotField showAll="0"/>
    <pivotField showAll="0"/>
    <pivotField showAll="0"/>
    <pivotField showAll="0"/>
    <pivotField showAll="0"/>
    <pivotField axis="axisPage" multipleItemSelectionAllowed="1" showAll="0">
      <items count="15">
        <item x="13"/>
        <item h="1" x="2"/>
        <item h="1" x="12"/>
        <item h="1" x="7"/>
        <item h="1" x="9"/>
        <item h="1" x="8"/>
        <item h="1" x="1"/>
        <item h="1" x="0"/>
        <item h="1" x="5"/>
        <item h="1" x="11"/>
        <item h="1" x="6"/>
        <item h="1" x="4"/>
        <item h="1" x="3"/>
        <item h="1" x="10"/>
        <item t="default"/>
      </items>
    </pivotField>
    <pivotField dataField="1" showAll="0"/>
  </pivotFields>
  <rowFields count="1">
    <field x="0"/>
  </rowFields>
  <rowItems count="12">
    <i>
      <x/>
    </i>
    <i>
      <x v="1"/>
    </i>
    <i>
      <x v="2"/>
    </i>
    <i>
      <x v="3"/>
    </i>
    <i>
      <x v="4"/>
    </i>
    <i>
      <x v="5"/>
    </i>
    <i>
      <x v="6"/>
    </i>
    <i>
      <x v="7"/>
    </i>
    <i>
      <x v="8"/>
    </i>
    <i>
      <x v="9"/>
    </i>
    <i>
      <x v="10"/>
    </i>
    <i t="grand">
      <x/>
    </i>
  </rowItems>
  <colFields count="1">
    <field x="3"/>
  </colFields>
  <colItems count="3">
    <i>
      <x/>
    </i>
    <i>
      <x v="1"/>
    </i>
    <i t="grand">
      <x/>
    </i>
  </colItems>
  <pageFields count="1">
    <pageField fld="9" hier="-1"/>
  </pageFields>
  <dataFields count="1">
    <dataField name="Sum of Value" fld="10" baseField="0" baseItem="0"/>
  </dataFields>
  <formats count="3">
    <format dxfId="61">
      <pivotArea outline="0" collapsedLevelsAreSubtotals="1" fieldPosition="0"/>
    </format>
    <format dxfId="62">
      <pivotArea dataOnly="0" labelOnly="1" fieldPosition="0">
        <references count="1">
          <reference field="3" count="1">
            <x v="0"/>
          </reference>
        </references>
      </pivotArea>
    </format>
    <format dxfId="63">
      <pivotArea dataOnly="0" labelOnly="1" fieldPosition="0">
        <references count="1">
          <reference field="3"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53AD79-8385-40F2-9DCE-F1C23040A74F}" name="PivotTable1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N7:Q20" firstHeaderRow="1" firstDataRow="2" firstDataCol="1" rowPageCount="1" colPageCount="1"/>
  <pivotFields count="11">
    <pivotField axis="axisRow" showAll="0">
      <items count="12">
        <item x="0"/>
        <item x="1"/>
        <item x="2"/>
        <item x="3"/>
        <item x="4"/>
        <item x="5"/>
        <item x="6"/>
        <item x="7"/>
        <item x="8"/>
        <item x="9"/>
        <item x="10"/>
        <item t="default"/>
      </items>
    </pivotField>
    <pivotField showAll="0"/>
    <pivotField showAll="0"/>
    <pivotField axis="axisCol" showAll="0">
      <items count="3">
        <item x="1"/>
        <item x="0"/>
        <item t="default"/>
      </items>
    </pivotField>
    <pivotField showAll="0"/>
    <pivotField showAll="0"/>
    <pivotField showAll="0"/>
    <pivotField showAll="0"/>
    <pivotField showAll="0"/>
    <pivotField axis="axisPage" multipleItemSelectionAllowed="1" showAll="0">
      <items count="15">
        <item h="1" x="13"/>
        <item h="1" x="2"/>
        <item h="1" x="12"/>
        <item h="1" x="7"/>
        <item h="1" x="9"/>
        <item h="1" x="8"/>
        <item x="1"/>
        <item h="1" x="0"/>
        <item h="1" x="5"/>
        <item h="1" x="11"/>
        <item h="1" x="6"/>
        <item h="1" x="4"/>
        <item h="1" x="3"/>
        <item h="1" x="10"/>
        <item t="default"/>
      </items>
    </pivotField>
    <pivotField dataField="1" showAll="0"/>
  </pivotFields>
  <rowFields count="1">
    <field x="0"/>
  </rowFields>
  <rowItems count="12">
    <i>
      <x/>
    </i>
    <i>
      <x v="1"/>
    </i>
    <i>
      <x v="2"/>
    </i>
    <i>
      <x v="3"/>
    </i>
    <i>
      <x v="4"/>
    </i>
    <i>
      <x v="5"/>
    </i>
    <i>
      <x v="6"/>
    </i>
    <i>
      <x v="7"/>
    </i>
    <i>
      <x v="8"/>
    </i>
    <i>
      <x v="9"/>
    </i>
    <i>
      <x v="10"/>
    </i>
    <i t="grand">
      <x/>
    </i>
  </rowItems>
  <colFields count="1">
    <field x="3"/>
  </colFields>
  <colItems count="3">
    <i>
      <x/>
    </i>
    <i>
      <x v="1"/>
    </i>
    <i t="grand">
      <x/>
    </i>
  </colItems>
  <pageFields count="1">
    <pageField fld="9" hier="-1"/>
  </pageFields>
  <dataFields count="1">
    <dataField name="Sum of Value" fld="10" baseField="0" baseItem="0"/>
  </dataFields>
  <chartFormats count="4">
    <chartFormat chart="0" format="17" series="1">
      <pivotArea type="data" outline="0" fieldPosition="0">
        <references count="1">
          <reference field="4294967294" count="1" selected="0">
            <x v="0"/>
          </reference>
        </references>
      </pivotArea>
    </chartFormat>
    <chartFormat chart="0" format="21" series="1">
      <pivotArea type="data" outline="0" fieldPosition="0">
        <references count="2">
          <reference field="4294967294" count="1" selected="0">
            <x v="0"/>
          </reference>
          <reference field="3" count="1" selected="0">
            <x v="1"/>
          </reference>
        </references>
      </pivotArea>
    </chartFormat>
    <chartFormat chart="19" format="32" series="1">
      <pivotArea type="data" outline="0" fieldPosition="0">
        <references count="2">
          <reference field="4294967294" count="1" selected="0">
            <x v="0"/>
          </reference>
          <reference field="3" count="1" selected="0">
            <x v="0"/>
          </reference>
        </references>
      </pivotArea>
    </chartFormat>
    <chartFormat chart="19" format="33"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A452B60-47D2-416A-BA59-7F8FD791DDF7}" autoFormatId="16" applyNumberFormats="0" applyBorderFormats="0" applyFontFormats="0" applyPatternFormats="0" applyAlignmentFormats="0" applyWidthHeightFormats="0">
  <queryTableRefresh nextId="12">
    <queryTableFields count="11">
      <queryTableField id="1" name="Year" tableColumnId="12"/>
      <queryTableField id="2" name="NTD_ID" tableColumnId="2"/>
      <queryTableField id="3" name="Agency" tableColumnId="3"/>
      <queryTableField id="4" name="Mode" tableColumnId="4"/>
      <queryTableField id="5" name="Mode_Code" tableColumnId="5"/>
      <queryTableField id="6" name="Fare_Ops_Funding" tableColumnId="6"/>
      <queryTableField id="7" name="Federal_Ops_Funding" tableColumnId="7"/>
      <queryTableField id="8" name="State_Ops_Funding" tableColumnId="8"/>
      <queryTableField id="9" name="Local_Ops_Funding" tableColumnId="9"/>
      <queryTableField id="10" name="KPI_Type" tableColumnId="10"/>
      <queryTableField id="11" name="Valu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PI_Type1" xr10:uid="{F15EEAC4-2F02-4ECB-8F28-E86641B8A06E}" sourceName="KPI_Type">
  <pivotTables>
    <pivotTable tabId="10" name="PivotTable1"/>
  </pivotTables>
  <data>
    <tabular pivotCacheId="2087307026">
      <items count="14">
        <i x="13" s="1"/>
        <i x="2"/>
        <i x="12"/>
        <i x="7"/>
        <i x="9"/>
        <i x="8"/>
        <i x="1"/>
        <i x="0"/>
        <i x="5"/>
        <i x="10"/>
        <i x="11"/>
        <i x="6"/>
        <i x="4"/>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PI_Type" xr10:uid="{9BF5158C-454F-4A64-A1A8-45F2D7C0EF01}" sourceName="KPI_Type">
  <pivotTables>
    <pivotTable tabId="10" name="PivotTable16"/>
  </pivotTables>
  <data>
    <tabular pivotCacheId="2087307026">
      <items count="14">
        <i x="13"/>
        <i x="2"/>
        <i x="12"/>
        <i x="7"/>
        <i x="9"/>
        <i x="8"/>
        <i x="1" s="1"/>
        <i x="0"/>
        <i x="5"/>
        <i x="10"/>
        <i x="11"/>
        <i x="6"/>
        <i x="4"/>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tric Type" xr10:uid="{A22ADDDF-8D17-4E30-87BA-7974EE32F3A2}" cache="Slicer_KPI_Type1" caption="Metric Type" rowHeight="241300"/>
  <slicer name="Metric Selection" xr10:uid="{C2F1861D-0C43-43BF-88E8-A103F085ACD6}" cache="Slicer_KPI_Type" caption="Metric Selector"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71AD8C-4C4C-4887-97F4-79AF098A39BA}" name="Table2" displayName="Table2" ref="A1:W23" totalsRowShown="0" headerRowDxfId="86" dataDxfId="84" headerRowBorderDxfId="85" headerRowCellStyle="Heading 3">
  <autoFilter ref="A1:W23" xr:uid="{A571AD8C-4C4C-4887-97F4-79AF098A39BA}"/>
  <sortState xmlns:xlrd2="http://schemas.microsoft.com/office/spreadsheetml/2017/richdata2" ref="A2:W23">
    <sortCondition ref="A1:A23"/>
  </sortState>
  <tableColumns count="23">
    <tableColumn id="1" xr3:uid="{CDD11E50-8DC5-46B8-89BC-D0370F1DF485}" name="Year" dataDxfId="64"/>
    <tableColumn id="2" xr3:uid="{677DD5D7-DDD5-4D1F-A0D7-BFCD07DFD21B}" name="NTD_ID" dataDxfId="65"/>
    <tableColumn id="3" xr3:uid="{4117575A-4E90-41D7-857F-30C6A3962DA8}" name="Agency" dataDxfId="83"/>
    <tableColumn id="4" xr3:uid="{E95B241F-8E61-465D-B0BA-0070A128AB4F}" name="Mode" dataDxfId="82"/>
    <tableColumn id="5" xr3:uid="{9840EC9F-7739-4572-B618-F7E7128EA4CD}" name="Mode_Code" dataDxfId="81"/>
    <tableColumn id="6" xr3:uid="{3CA8A166-B4BF-4770-8CFF-18CADD50D33F}" name="Service_Area_Pop" dataDxfId="80"/>
    <tableColumn id="7" xr3:uid="{659E3E50-A62E-4F03-98E5-5B884F0C0E16}" name="Operating_Expenses" dataDxfId="66" dataCellStyle="Currency"/>
    <tableColumn id="8" xr3:uid="{8474C89A-1E45-4C30-BAAF-E609A2D16A36}" name="Fare_Revenue" dataDxfId="79" dataCellStyle="Currency"/>
    <tableColumn id="9" xr3:uid="{3D22FBE6-6634-45AA-B734-6CD2EE75F7A5}" name="VRM" dataDxfId="78"/>
    <tableColumn id="10" xr3:uid="{7EB39008-FEA8-4447-A04B-705FE877A60E}" name="VRH" dataDxfId="77"/>
    <tableColumn id="11" xr3:uid="{BB4F9336-EC9E-4B7A-979B-AF7999612E0C}" name="UPT" dataDxfId="76"/>
    <tableColumn id="12" xr3:uid="{10E67054-AA6A-43C5-8101-FE1B823D9F58}" name="VOMS" dataDxfId="75"/>
    <tableColumn id="13" xr3:uid="{7790F389-01B5-4C97-9B78-E2E9DB34D079}" name="OE_per_UPT" dataDxfId="74"/>
    <tableColumn id="14" xr3:uid="{996A2A20-2454-44F7-ADF9-F947D235CEFA}" name="OE_per_VRM" dataDxfId="73"/>
    <tableColumn id="15" xr3:uid="{A4599FB5-9A65-404F-AF83-549F577B3BC2}" name="OE_per_VRH" dataDxfId="60"/>
    <tableColumn id="23" xr3:uid="{BCF04623-0E60-401E-996D-0ECC54D7005E}" name="UPT_per_VRH" dataDxfId="58">
      <calculatedColumnFormula>Table2[[#This Row],[UPT]]/Table2[[#This Row],[VRH]]</calculatedColumnFormula>
    </tableColumn>
    <tableColumn id="16" xr3:uid="{8CF49DE3-998B-46AC-B3A6-A2CBAE1ACB92}" name="UPT_per_VRM" dataDxfId="59"/>
    <tableColumn id="17" xr3:uid="{BDCDFAAC-10B7-471F-AA36-D24245DF2697}" name="Farebox_Recovery_Pct" dataDxfId="72" dataCellStyle="Percent">
      <calculatedColumnFormula>Table2[[#This Row],[Fare_Revenue]]/Table2[[#This Row],[Operating_Expenses]]</calculatedColumnFormula>
    </tableColumn>
    <tableColumn id="18" xr3:uid="{3A38CA10-A5C1-4F33-BFEC-CD77343A1222}" name="Avg_Fleet_Age" dataDxfId="71"/>
    <tableColumn id="19" xr3:uid="{11FA0DB1-DB0E-45C2-9FCA-03C4531B573B}" name="Fare_Ops_Funding" dataDxfId="70"/>
    <tableColumn id="20" xr3:uid="{A97AFDF0-50C7-4E9A-A252-B600E07551BA}" name="Federal_Ops_Funding" dataDxfId="69"/>
    <tableColumn id="21" xr3:uid="{3BC5C858-CDEA-46AA-A24C-BB41F3F4C0FF}" name="State_Ops_Funding" dataDxfId="68"/>
    <tableColumn id="22" xr3:uid="{7D3F2093-5AFC-42A9-A543-8D1CDC1632E9}" name="Local_Ops_Funding" dataDxfId="6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AAC626F-3EE8-40ED-861D-9014E5C75D62}" name="Table2_2" displayName="Table2_2" ref="A1:K309" tableType="queryTable" totalsRowShown="0">
  <autoFilter ref="A1:K309" xr:uid="{AAAC626F-3EE8-40ED-861D-9014E5C75D62}"/>
  <tableColumns count="11">
    <tableColumn id="12" xr3:uid="{B0F560B5-6C7A-427A-80CD-4BB54C4FB269}" uniqueName="12" name="Year" queryTableFieldId="1"/>
    <tableColumn id="2" xr3:uid="{48BD4295-D8E3-428A-8A2A-5B35429812C1}" uniqueName="2" name="NTD_ID" queryTableFieldId="2"/>
    <tableColumn id="3" xr3:uid="{11793B55-E5D2-4B12-B167-DD04EC90B6DD}" uniqueName="3" name="Agency" queryTableFieldId="3" dataDxfId="52"/>
    <tableColumn id="4" xr3:uid="{8B57A267-A969-4EEA-92A3-050E09201964}" uniqueName="4" name="Mode" queryTableFieldId="4" dataDxfId="51"/>
    <tableColumn id="5" xr3:uid="{390892F0-3B0F-4F93-A55C-D1DDC5319020}" uniqueName="5" name="Mode_Code" queryTableFieldId="5" dataDxfId="50"/>
    <tableColumn id="6" xr3:uid="{4ABB6D1F-F989-4056-8149-BE3973ADD2A4}" uniqueName="6" name="Fare_Ops_Funding" queryTableFieldId="6"/>
    <tableColumn id="7" xr3:uid="{C75C3352-1366-4017-AEB8-594632D07088}" uniqueName="7" name="Federal_Ops_Funding" queryTableFieldId="7"/>
    <tableColumn id="8" xr3:uid="{241991D0-B9FF-4B13-8F96-D2A0CB5D2654}" uniqueName="8" name="State_Ops_Funding" queryTableFieldId="8"/>
    <tableColumn id="9" xr3:uid="{9C0E42ED-71E5-4AC2-A716-622E2E648253}" uniqueName="9" name="Local_Ops_Funding" queryTableFieldId="9"/>
    <tableColumn id="10" xr3:uid="{2EE842D6-F1A7-489E-AC20-EF716D7932B0}" uniqueName="10" name="KPI_Type" queryTableFieldId="10" dataDxfId="49"/>
    <tableColumn id="11" xr3:uid="{882E835B-11FC-4359-95C4-ABE83E45E776}" uniqueName="11" name="Value" queryTableFieldId="11" dataDxfId="4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ED8BD-89FE-48C8-BEAB-21D2F8E53DC9}">
  <sheetPr>
    <pageSetUpPr fitToPage="1"/>
  </sheetPr>
  <dimension ref="A1:Z20"/>
  <sheetViews>
    <sheetView tabSelected="1" zoomScale="55" zoomScaleNormal="55" workbookViewId="0">
      <selection activeCell="K29" sqref="K29"/>
    </sheetView>
  </sheetViews>
  <sheetFormatPr defaultRowHeight="14.5" x14ac:dyDescent="0.35"/>
  <cols>
    <col min="1" max="1" width="13.1796875" bestFit="1" customWidth="1"/>
    <col min="2" max="2" width="16.90625" bestFit="1" customWidth="1"/>
    <col min="3" max="3" width="14.81640625" bestFit="1" customWidth="1"/>
    <col min="4" max="4" width="14.6328125" bestFit="1" customWidth="1"/>
    <col min="5" max="5" width="13.453125" bestFit="1" customWidth="1"/>
    <col min="6" max="6" width="11.36328125" bestFit="1" customWidth="1"/>
    <col min="7" max="8" width="8.7265625" customWidth="1"/>
  </cols>
  <sheetData>
    <row r="1" spans="1:26" ht="24" thickBot="1" x14ac:dyDescent="0.6">
      <c r="A1" s="17" t="s">
        <v>36</v>
      </c>
      <c r="B1" s="17"/>
      <c r="C1" s="17"/>
      <c r="D1" s="17"/>
      <c r="E1" s="17"/>
      <c r="F1" s="17"/>
      <c r="G1" s="17"/>
      <c r="H1" s="17"/>
      <c r="K1" s="28" t="s">
        <v>46</v>
      </c>
      <c r="L1" s="28"/>
      <c r="M1" s="28"/>
      <c r="N1" s="28"/>
      <c r="O1" s="28"/>
      <c r="P1" s="28"/>
      <c r="Q1" s="28"/>
      <c r="R1" s="28"/>
      <c r="S1" s="28"/>
      <c r="T1" s="28"/>
      <c r="U1" s="28"/>
      <c r="V1" s="28"/>
      <c r="W1" s="28"/>
      <c r="X1" s="28"/>
      <c r="Y1" s="28"/>
      <c r="Z1" s="28"/>
    </row>
    <row r="2" spans="1:26" ht="15" thickTop="1" x14ac:dyDescent="0.35">
      <c r="A2" t="s">
        <v>37</v>
      </c>
      <c r="K2" s="29" t="s">
        <v>47</v>
      </c>
      <c r="L2" s="29"/>
      <c r="M2" s="29"/>
      <c r="N2" s="29"/>
      <c r="O2" s="29"/>
      <c r="P2" s="29"/>
      <c r="Q2" s="29"/>
      <c r="R2" s="29"/>
      <c r="S2" s="29"/>
      <c r="T2" s="29"/>
      <c r="U2" s="29"/>
      <c r="V2" s="29"/>
      <c r="W2" s="29"/>
      <c r="X2" s="29"/>
      <c r="Y2" s="29"/>
      <c r="Z2" s="29"/>
    </row>
    <row r="3" spans="1:26" x14ac:dyDescent="0.35">
      <c r="A3" s="19" t="s">
        <v>43</v>
      </c>
      <c r="D3" s="20" t="s">
        <v>44</v>
      </c>
    </row>
    <row r="5" spans="1:26" x14ac:dyDescent="0.35">
      <c r="A5" s="22" t="s">
        <v>38</v>
      </c>
      <c r="B5" s="24" t="s">
        <v>25</v>
      </c>
      <c r="C5" s="25" t="s">
        <v>39</v>
      </c>
      <c r="D5" s="22" t="s">
        <v>40</v>
      </c>
      <c r="E5" s="22" t="s">
        <v>35</v>
      </c>
      <c r="F5" s="21"/>
    </row>
    <row r="6" spans="1:26" x14ac:dyDescent="0.35">
      <c r="A6">
        <v>2014</v>
      </c>
      <c r="B6" s="15">
        <f>GETPIVOTDATA("Value",'Pivot Engine'!$N$25,"Year",2014,"Mode","Demand Response")</f>
        <v>3.2</v>
      </c>
      <c r="C6" s="15">
        <f>GETPIVOTDATA("Value",'Pivot Engine'!$N$25,"Year",2014,"Mode","Fixed Route Bus")</f>
        <v>5.3</v>
      </c>
      <c r="D6" s="15">
        <f>SUM(B6:C6)</f>
        <v>8.5</v>
      </c>
      <c r="E6" s="15">
        <f>ABS(B6-C6)</f>
        <v>2.0999999999999996</v>
      </c>
      <c r="F6" s="26"/>
    </row>
    <row r="7" spans="1:26" x14ac:dyDescent="0.35">
      <c r="A7">
        <v>2015</v>
      </c>
      <c r="B7" s="15">
        <f>GETPIVOTDATA("Value",'Pivot Engine'!$N$25,"Year",2015,"Mode","Demand Response")</f>
        <v>4.4000000000000004</v>
      </c>
      <c r="C7" s="15">
        <f>GETPIVOTDATA("Value",'Pivot Engine'!$N$25,"Year",2015,"Mode","Fixed Route Bus")</f>
        <v>5.5</v>
      </c>
      <c r="D7" s="15">
        <f t="shared" ref="D7:D16" si="0">SUM(B7:C7)</f>
        <v>9.9</v>
      </c>
      <c r="E7" s="15">
        <f>ABS(B7-C7)</f>
        <v>1.0999999999999996</v>
      </c>
    </row>
    <row r="8" spans="1:26" x14ac:dyDescent="0.35">
      <c r="A8">
        <v>2016</v>
      </c>
      <c r="B8" s="15">
        <f>GETPIVOTDATA("Value",'Pivot Engine'!$N$25,"Year",2016,"Mode","Demand Response")</f>
        <v>4.4000000000000004</v>
      </c>
      <c r="C8" s="15">
        <f>GETPIVOTDATA("Value",'Pivot Engine'!$N$25,"Year",2016,"Mode","Fixed Route Bus")</f>
        <v>7.1</v>
      </c>
      <c r="D8" s="15">
        <f t="shared" si="0"/>
        <v>11.5</v>
      </c>
      <c r="E8" s="15">
        <f t="shared" ref="E7:E17" si="1">ABS(B8-C8)</f>
        <v>2.6999999999999993</v>
      </c>
    </row>
    <row r="9" spans="1:26" x14ac:dyDescent="0.35">
      <c r="A9">
        <v>2017</v>
      </c>
      <c r="B9" s="15">
        <f>GETPIVOTDATA("Value",'Pivot Engine'!$N$25,"Year",2017,"Mode","Demand Response")</f>
        <v>5.4</v>
      </c>
      <c r="C9" s="15">
        <f>GETPIVOTDATA("Value",'Pivot Engine'!$N$25,"Year",2017,"Mode","Fixed Route Bus")</f>
        <v>8.1</v>
      </c>
      <c r="D9" s="15">
        <f t="shared" si="0"/>
        <v>13.5</v>
      </c>
      <c r="E9" s="15">
        <f t="shared" si="1"/>
        <v>2.6999999999999993</v>
      </c>
      <c r="I9" s="13"/>
      <c r="J9" s="16"/>
    </row>
    <row r="10" spans="1:26" x14ac:dyDescent="0.35">
      <c r="A10">
        <v>2018</v>
      </c>
      <c r="B10" s="15">
        <f>GETPIVOTDATA("Value",'Pivot Engine'!$N$25,"Year",2018,"Mode","Demand Response")</f>
        <v>6.4</v>
      </c>
      <c r="C10" s="15">
        <f>GETPIVOTDATA("Value",'Pivot Engine'!$N$25,"Year",2018,"Mode","Fixed Route Bus")</f>
        <v>9.1</v>
      </c>
      <c r="D10" s="15">
        <f t="shared" si="0"/>
        <v>15.5</v>
      </c>
      <c r="E10" s="15">
        <f t="shared" si="1"/>
        <v>2.6999999999999993</v>
      </c>
      <c r="I10" s="13"/>
      <c r="J10" s="16"/>
    </row>
    <row r="11" spans="1:26" x14ac:dyDescent="0.35">
      <c r="A11">
        <v>2019</v>
      </c>
      <c r="B11" s="15">
        <f>GETPIVOTDATA("Value",'Pivot Engine'!$N$25,"Year",2019,"Mode","Demand Response")</f>
        <v>7.4</v>
      </c>
      <c r="C11" s="15">
        <f>GETPIVOTDATA("Value",'Pivot Engine'!$N$25,"Year",2019,"Mode","Fixed Route Bus")</f>
        <v>10.1</v>
      </c>
      <c r="D11" s="15">
        <f t="shared" si="0"/>
        <v>17.5</v>
      </c>
      <c r="E11" s="15">
        <f t="shared" si="1"/>
        <v>2.6999999999999993</v>
      </c>
      <c r="I11" s="13"/>
      <c r="J11" s="16"/>
    </row>
    <row r="12" spans="1:26" x14ac:dyDescent="0.35">
      <c r="A12">
        <v>2020</v>
      </c>
      <c r="B12" s="15">
        <f>GETPIVOTDATA("Value",'Pivot Engine'!$N$25,"Year",2020,"Mode","Demand Response")</f>
        <v>7.3</v>
      </c>
      <c r="C12" s="15">
        <f>GETPIVOTDATA("Value",'Pivot Engine'!$N$25,"Year",2020,"Mode","Fixed Route Bus")</f>
        <v>6.3</v>
      </c>
      <c r="D12" s="15">
        <f t="shared" si="0"/>
        <v>13.6</v>
      </c>
      <c r="E12" s="15">
        <f t="shared" si="1"/>
        <v>1</v>
      </c>
      <c r="I12" s="13"/>
      <c r="J12" s="16"/>
    </row>
    <row r="13" spans="1:26" x14ac:dyDescent="0.35">
      <c r="A13">
        <v>2021</v>
      </c>
      <c r="B13" s="15">
        <f>GETPIVOTDATA("Value",'Pivot Engine'!$N$25,"Year",2021,"Mode","Demand Response")</f>
        <v>7.5</v>
      </c>
      <c r="C13" s="15">
        <f>GETPIVOTDATA("Value",'Pivot Engine'!$N$25,"Year",2021,"Mode","Fixed Route Bus")</f>
        <v>4.5</v>
      </c>
      <c r="D13" s="15">
        <f t="shared" si="0"/>
        <v>12</v>
      </c>
      <c r="E13" s="15">
        <f t="shared" si="1"/>
        <v>3</v>
      </c>
      <c r="I13" s="13"/>
      <c r="J13" s="16"/>
    </row>
    <row r="14" spans="1:26" x14ac:dyDescent="0.35">
      <c r="A14">
        <v>2022</v>
      </c>
      <c r="B14" s="15">
        <f>GETPIVOTDATA("Value",'Pivot Engine'!$N$25,"Year",2022,"Mode","Demand Response")</f>
        <v>8.5</v>
      </c>
      <c r="C14" s="15">
        <f>GETPIVOTDATA("Value",'Pivot Engine'!$N$25,"Year",2022,"Mode","Fixed Route Bus")</f>
        <v>5.5</v>
      </c>
      <c r="D14" s="15">
        <f t="shared" si="0"/>
        <v>14</v>
      </c>
      <c r="E14" s="15">
        <f t="shared" si="1"/>
        <v>3</v>
      </c>
    </row>
    <row r="15" spans="1:26" x14ac:dyDescent="0.35">
      <c r="A15">
        <v>2023</v>
      </c>
      <c r="B15" s="15">
        <f>GETPIVOTDATA("Value",'Pivot Engine'!$N$25,"Year",2023,"Mode","Demand Response")</f>
        <v>9.5</v>
      </c>
      <c r="C15" s="15">
        <f>GETPIVOTDATA("Value",'Pivot Engine'!$N$25,"Year",2023,"Mode","Fixed Route Bus")</f>
        <v>5.4</v>
      </c>
      <c r="D15" s="15">
        <f t="shared" si="0"/>
        <v>14.9</v>
      </c>
      <c r="E15" s="15">
        <f t="shared" si="1"/>
        <v>4.0999999999999996</v>
      </c>
    </row>
    <row r="16" spans="1:26" x14ac:dyDescent="0.35">
      <c r="A16">
        <v>2024</v>
      </c>
      <c r="B16" s="15">
        <f>GETPIVOTDATA("Value",'Pivot Engine'!$N$25,"Year",2024,"Mode","Demand Response")</f>
        <v>7.1</v>
      </c>
      <c r="C16" s="15">
        <f>GETPIVOTDATA("Value",'Pivot Engine'!$N$25,"Year",2024,"Mode","Fixed Route Bus")</f>
        <v>5.2</v>
      </c>
      <c r="D16" s="15">
        <f t="shared" si="0"/>
        <v>12.3</v>
      </c>
      <c r="E16" s="15">
        <f t="shared" si="1"/>
        <v>1.8999999999999995</v>
      </c>
    </row>
    <row r="17" spans="1:5" x14ac:dyDescent="0.35">
      <c r="A17" s="22" t="s">
        <v>29</v>
      </c>
      <c r="B17" s="23">
        <f>SUM(B6:B16)</f>
        <v>71.099999999999994</v>
      </c>
      <c r="C17" s="23">
        <f>SUM(C6:C16)</f>
        <v>72.100000000000009</v>
      </c>
      <c r="D17" s="23">
        <f>SUM(D6:D16)</f>
        <v>143.20000000000002</v>
      </c>
      <c r="E17" s="15">
        <f t="shared" si="1"/>
        <v>1.0000000000000142</v>
      </c>
    </row>
    <row r="20" spans="1:5" x14ac:dyDescent="0.35">
      <c r="E20" s="27"/>
    </row>
  </sheetData>
  <mergeCells count="3">
    <mergeCell ref="A1:H1"/>
    <mergeCell ref="K1:Z1"/>
    <mergeCell ref="K2:Z2"/>
  </mergeCells>
  <conditionalFormatting sqref="E6:E16">
    <cfRule type="top10" dxfId="54" priority="1" rank="1"/>
    <cfRule type="top10" dxfId="53" priority="11" bottom="1" rank="1"/>
  </conditionalFormatting>
  <pageMargins left="0.7" right="0.7" top="0.75" bottom="0.75" header="0.3" footer="0.3"/>
  <pageSetup scale="45"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6" id="{7D4657A6-AE9A-43E0-A31A-109B4CAC9D9A}">
            <xm:f>'Pivot Engine'!$O$23="Farebox_Recovery_Pct"</xm:f>
            <x14:dxf>
              <numFmt numFmtId="14" formatCode="0.00%"/>
            </x14:dxf>
          </x14:cfRule>
          <xm:sqref>B6:E17</xm:sqref>
        </x14:conditionalFormatting>
        <x14:conditionalFormatting xmlns:xm="http://schemas.microsoft.com/office/excel/2006/main">
          <x14:cfRule type="expression" priority="13" id="{ADC65B59-A68A-49A0-ACFE-8881031DC29B}">
            <xm:f>'Pivot Engine'!P27&gt;'Pivot Engine'!O27</xm:f>
            <x14:dxf>
              <fill>
                <patternFill patternType="solid">
                  <bgColor theme="5" tint="0.39994506668294322"/>
                </patternFill>
              </fill>
              <border>
                <left/>
                <right/>
                <top/>
                <bottom/>
              </border>
            </x14:dxf>
          </x14:cfRule>
          <x14:cfRule type="expression" priority="14" id="{D97C6CE8-CF7B-4923-8A05-5D34D9E1F722}">
            <xm:f>'Pivot Engine'!O27&gt;'Pivot Engine'!P27</xm:f>
            <x14:dxf>
              <font>
                <color auto="1"/>
              </font>
              <fill>
                <patternFill patternType="solid">
                  <bgColor theme="4" tint="0.39994506668294322"/>
                </patternFill>
              </fill>
            </x14:dxf>
          </x14:cfRule>
          <xm:sqref>E6:E17</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006EE-F989-4A97-96F2-663130CC8951}">
  <sheetPr>
    <pageSetUpPr fitToPage="1"/>
  </sheetPr>
  <dimension ref="A1:X49"/>
  <sheetViews>
    <sheetView topLeftCell="G1" zoomScale="70" zoomScaleNormal="70" workbookViewId="0">
      <selection activeCell="O25" sqref="O25"/>
    </sheetView>
  </sheetViews>
  <sheetFormatPr defaultRowHeight="14.5" x14ac:dyDescent="0.35"/>
  <cols>
    <col min="1" max="1" width="11" style="13" bestFit="1" customWidth="1"/>
    <col min="2" max="2" width="13.36328125" bestFit="1" customWidth="1"/>
    <col min="3" max="3" width="13.1796875" customWidth="1"/>
    <col min="4" max="4" width="16.453125" bestFit="1" customWidth="1"/>
    <col min="5" max="5" width="17.26953125" bestFit="1" customWidth="1"/>
    <col min="6" max="6" width="22.1796875" bestFit="1" customWidth="1"/>
    <col min="7" max="7" width="24.08984375" bestFit="1" customWidth="1"/>
    <col min="8" max="8" width="19.08984375" bestFit="1" customWidth="1"/>
    <col min="9" max="9" width="11.26953125" bestFit="1" customWidth="1"/>
    <col min="10" max="10" width="10.7265625" bestFit="1" customWidth="1"/>
    <col min="11" max="11" width="10.6328125" bestFit="1" customWidth="1"/>
    <col min="12" max="12" width="12.453125" bestFit="1" customWidth="1"/>
    <col min="13" max="13" width="17.36328125" bestFit="1" customWidth="1"/>
    <col min="14" max="14" width="23.453125" customWidth="1"/>
    <col min="15" max="15" width="24.26953125" customWidth="1"/>
    <col min="16" max="16" width="19.1796875" bestFit="1" customWidth="1"/>
    <col min="17" max="17" width="25.90625" bestFit="1" customWidth="1"/>
    <col min="18" max="18" width="19.54296875" bestFit="1" customWidth="1"/>
    <col min="19" max="19" width="22.54296875" bestFit="1" customWidth="1"/>
    <col min="20" max="20" width="25.1796875" bestFit="1" customWidth="1"/>
    <col min="21" max="21" width="23.1796875" bestFit="1" customWidth="1"/>
    <col min="22" max="22" width="23.08984375" bestFit="1" customWidth="1"/>
  </cols>
  <sheetData>
    <row r="1" spans="1:24" s="4" customFormat="1" ht="15" thickBot="1" x14ac:dyDescent="0.4">
      <c r="A1" s="1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45</v>
      </c>
      <c r="Q1" s="2" t="s">
        <v>15</v>
      </c>
      <c r="R1" s="2" t="s">
        <v>16</v>
      </c>
      <c r="S1" s="2" t="s">
        <v>17</v>
      </c>
      <c r="T1" s="2" t="s">
        <v>18</v>
      </c>
      <c r="U1" s="2" t="s">
        <v>19</v>
      </c>
      <c r="V1" s="2" t="s">
        <v>20</v>
      </c>
      <c r="W1" s="2" t="s">
        <v>21</v>
      </c>
      <c r="X1" s="3"/>
    </row>
    <row r="2" spans="1:24" x14ac:dyDescent="0.35">
      <c r="A2" s="11">
        <v>2014</v>
      </c>
      <c r="B2" s="1">
        <v>90199</v>
      </c>
      <c r="C2" s="1" t="s">
        <v>22</v>
      </c>
      <c r="D2" s="1" t="s">
        <v>23</v>
      </c>
      <c r="E2" s="1" t="s">
        <v>24</v>
      </c>
      <c r="F2" s="1">
        <v>62514</v>
      </c>
      <c r="G2" s="5">
        <v>845828</v>
      </c>
      <c r="H2" s="5">
        <v>105350</v>
      </c>
      <c r="I2" s="1">
        <v>178186</v>
      </c>
      <c r="J2" s="1">
        <v>12560</v>
      </c>
      <c r="K2" s="1">
        <v>143710</v>
      </c>
      <c r="L2" s="1">
        <v>6</v>
      </c>
      <c r="M2" s="1">
        <v>5.89</v>
      </c>
      <c r="N2" s="1">
        <v>4.7469000000000001</v>
      </c>
      <c r="O2" s="1">
        <v>67.34</v>
      </c>
      <c r="P2" s="10">
        <f>Table2[[#This Row],[UPT]]/Table2[[#This Row],[VRH]]</f>
        <v>11.441878980891719</v>
      </c>
      <c r="Q2" s="1">
        <v>0.80649999999999999</v>
      </c>
      <c r="R2" s="6">
        <f>Table2[[#This Row],[Fare_Revenue]]/Table2[[#This Row],[Operating_Expenses]]</f>
        <v>0.12455250949365593</v>
      </c>
      <c r="S2" s="1">
        <v>5.3</v>
      </c>
      <c r="T2" s="1" t="s">
        <v>27</v>
      </c>
      <c r="U2" s="1" t="s">
        <v>27</v>
      </c>
      <c r="V2" s="1" t="s">
        <v>27</v>
      </c>
      <c r="W2" s="1" t="s">
        <v>27</v>
      </c>
      <c r="X2" s="1"/>
    </row>
    <row r="3" spans="1:24" x14ac:dyDescent="0.35">
      <c r="A3" s="11">
        <v>2014</v>
      </c>
      <c r="B3" s="1">
        <v>90199</v>
      </c>
      <c r="C3" s="1" t="s">
        <v>22</v>
      </c>
      <c r="D3" s="1" t="s">
        <v>25</v>
      </c>
      <c r="E3" s="1" t="s">
        <v>26</v>
      </c>
      <c r="F3" s="1">
        <v>62514</v>
      </c>
      <c r="G3" s="5">
        <v>793120</v>
      </c>
      <c r="H3" s="5">
        <v>43830</v>
      </c>
      <c r="I3" s="1">
        <v>182701</v>
      </c>
      <c r="J3" s="1">
        <v>11536</v>
      </c>
      <c r="K3" s="1">
        <v>36662</v>
      </c>
      <c r="L3" s="1">
        <v>7</v>
      </c>
      <c r="M3" s="1">
        <v>21.63</v>
      </c>
      <c r="N3" s="1">
        <v>4.3411</v>
      </c>
      <c r="O3" s="1">
        <v>68.75</v>
      </c>
      <c r="P3" s="10">
        <f>Table2[[#This Row],[UPT]]/Table2[[#This Row],[VRH]]</f>
        <v>3.1780513176144245</v>
      </c>
      <c r="Q3" s="1">
        <v>0.20069999999999999</v>
      </c>
      <c r="R3" s="6">
        <f>Table2[[#This Row],[Fare_Revenue]]/Table2[[#This Row],[Operating_Expenses]]</f>
        <v>5.5262759733709907E-2</v>
      </c>
      <c r="S3" s="1">
        <v>3.2</v>
      </c>
      <c r="T3" s="1" t="s">
        <v>27</v>
      </c>
      <c r="U3" s="1" t="s">
        <v>27</v>
      </c>
      <c r="V3" s="1" t="s">
        <v>27</v>
      </c>
      <c r="W3" s="1" t="s">
        <v>27</v>
      </c>
      <c r="X3" s="1"/>
    </row>
    <row r="4" spans="1:24" x14ac:dyDescent="0.35">
      <c r="A4" s="11">
        <v>2015</v>
      </c>
      <c r="B4" s="1">
        <v>90199</v>
      </c>
      <c r="C4" s="1" t="s">
        <v>22</v>
      </c>
      <c r="D4" s="1" t="s">
        <v>23</v>
      </c>
      <c r="E4" s="1" t="s">
        <v>24</v>
      </c>
      <c r="F4" s="1">
        <v>62514</v>
      </c>
      <c r="G4" s="5">
        <v>712624</v>
      </c>
      <c r="H4" s="5">
        <v>91262</v>
      </c>
      <c r="I4" s="1">
        <v>163507</v>
      </c>
      <c r="J4" s="1">
        <v>12575</v>
      </c>
      <c r="K4" s="1">
        <v>131493</v>
      </c>
      <c r="L4" s="1">
        <v>6</v>
      </c>
      <c r="M4" s="1">
        <v>5.42</v>
      </c>
      <c r="N4" s="1">
        <v>4.3583999999999996</v>
      </c>
      <c r="O4" s="1">
        <v>56.67</v>
      </c>
      <c r="P4" s="10">
        <f>Table2[[#This Row],[UPT]]/Table2[[#This Row],[VRH]]</f>
        <v>10.456699801192842</v>
      </c>
      <c r="Q4" s="1">
        <v>0.80420000000000003</v>
      </c>
      <c r="R4" s="6">
        <f>Table2[[#This Row],[Fare_Revenue]]/Table2[[#This Row],[Operating_Expenses]]</f>
        <v>0.12806472978737735</v>
      </c>
      <c r="S4" s="1">
        <v>5.5</v>
      </c>
      <c r="T4" s="5">
        <v>149222</v>
      </c>
      <c r="U4" s="5">
        <v>888435</v>
      </c>
      <c r="V4" s="5">
        <v>426076</v>
      </c>
      <c r="W4" s="5">
        <v>0</v>
      </c>
      <c r="X4" s="1"/>
    </row>
    <row r="5" spans="1:24" x14ac:dyDescent="0.35">
      <c r="A5" s="11">
        <v>2015</v>
      </c>
      <c r="B5" s="1">
        <v>90199</v>
      </c>
      <c r="C5" s="1" t="s">
        <v>22</v>
      </c>
      <c r="D5" s="1" t="s">
        <v>25</v>
      </c>
      <c r="E5" s="1" t="s">
        <v>26</v>
      </c>
      <c r="F5" s="1">
        <v>62514</v>
      </c>
      <c r="G5" s="5">
        <v>751109</v>
      </c>
      <c r="H5" s="5">
        <v>30432</v>
      </c>
      <c r="I5" s="1">
        <v>186796</v>
      </c>
      <c r="J5" s="1">
        <v>12020</v>
      </c>
      <c r="K5" s="1">
        <v>40505</v>
      </c>
      <c r="L5" s="1">
        <v>7</v>
      </c>
      <c r="M5" s="1">
        <v>18.54</v>
      </c>
      <c r="N5" s="1">
        <v>4.0209999999999999</v>
      </c>
      <c r="O5" s="1">
        <v>62.49</v>
      </c>
      <c r="P5" s="10">
        <f>Table2[[#This Row],[UPT]]/Table2[[#This Row],[VRH]]</f>
        <v>3.3698003327787021</v>
      </c>
      <c r="Q5" s="1">
        <v>0.21679999999999999</v>
      </c>
      <c r="R5" s="6">
        <f>Table2[[#This Row],[Fare_Revenue]]/Table2[[#This Row],[Operating_Expenses]]</f>
        <v>4.0516090207945853E-2</v>
      </c>
      <c r="S5" s="1">
        <v>4.4000000000000004</v>
      </c>
      <c r="T5" s="5">
        <v>149222</v>
      </c>
      <c r="U5" s="5">
        <v>888435</v>
      </c>
      <c r="V5" s="5">
        <v>426076</v>
      </c>
      <c r="W5" s="5">
        <v>0</v>
      </c>
      <c r="X5" s="1"/>
    </row>
    <row r="6" spans="1:24" x14ac:dyDescent="0.35">
      <c r="A6" s="11">
        <v>2016</v>
      </c>
      <c r="B6" s="1">
        <v>90199</v>
      </c>
      <c r="C6" s="1" t="s">
        <v>22</v>
      </c>
      <c r="D6" s="1" t="s">
        <v>23</v>
      </c>
      <c r="E6" s="1" t="s">
        <v>24</v>
      </c>
      <c r="F6" s="1">
        <v>64208</v>
      </c>
      <c r="G6" s="5">
        <v>846817</v>
      </c>
      <c r="H6" s="5">
        <v>89244</v>
      </c>
      <c r="I6" s="1">
        <v>171428</v>
      </c>
      <c r="J6" s="1">
        <v>12560</v>
      </c>
      <c r="K6" s="1">
        <v>108391</v>
      </c>
      <c r="L6" s="1">
        <v>7</v>
      </c>
      <c r="M6" s="1">
        <v>7.81</v>
      </c>
      <c r="N6" s="1">
        <v>4.9398</v>
      </c>
      <c r="O6" s="1">
        <v>67.42</v>
      </c>
      <c r="P6" s="10">
        <f>Table2[[#This Row],[UPT]]/Table2[[#This Row],[VRH]]</f>
        <v>8.6298566878980889</v>
      </c>
      <c r="Q6" s="1">
        <v>0.63229999999999997</v>
      </c>
      <c r="R6" s="6">
        <f>Table2[[#This Row],[Fare_Revenue]]/Table2[[#This Row],[Operating_Expenses]]</f>
        <v>0.10538758669228417</v>
      </c>
      <c r="S6" s="1">
        <v>7.1</v>
      </c>
      <c r="T6" s="5">
        <v>403352</v>
      </c>
      <c r="U6" s="5">
        <v>731682</v>
      </c>
      <c r="V6" s="5">
        <v>613552</v>
      </c>
      <c r="W6" s="5">
        <v>0</v>
      </c>
      <c r="X6" s="1"/>
    </row>
    <row r="7" spans="1:24" x14ac:dyDescent="0.35">
      <c r="A7" s="11">
        <v>2016</v>
      </c>
      <c r="B7" s="1">
        <v>90199</v>
      </c>
      <c r="C7" s="1" t="s">
        <v>22</v>
      </c>
      <c r="D7" s="1" t="s">
        <v>25</v>
      </c>
      <c r="E7" s="1" t="s">
        <v>26</v>
      </c>
      <c r="F7" s="1">
        <v>64208</v>
      </c>
      <c r="G7" s="5">
        <v>901769</v>
      </c>
      <c r="H7" s="5">
        <v>27808</v>
      </c>
      <c r="I7" s="1">
        <v>175436</v>
      </c>
      <c r="J7" s="1">
        <v>13016</v>
      </c>
      <c r="K7" s="1">
        <v>39146</v>
      </c>
      <c r="L7" s="1">
        <v>9</v>
      </c>
      <c r="M7" s="1">
        <v>23.04</v>
      </c>
      <c r="N7" s="1">
        <v>5.1402000000000001</v>
      </c>
      <c r="O7" s="1">
        <v>69.28</v>
      </c>
      <c r="P7" s="10">
        <f>Table2[[#This Row],[UPT]]/Table2[[#This Row],[VRH]]</f>
        <v>3.0075291948371237</v>
      </c>
      <c r="Q7" s="1">
        <v>0.22309999999999999</v>
      </c>
      <c r="R7" s="6">
        <f>Table2[[#This Row],[Fare_Revenue]]/Table2[[#This Row],[Operating_Expenses]]</f>
        <v>3.0837165615584479E-2</v>
      </c>
      <c r="S7" s="1">
        <v>4.4000000000000004</v>
      </c>
      <c r="T7" s="5">
        <v>403352</v>
      </c>
      <c r="U7" s="5">
        <v>731682</v>
      </c>
      <c r="V7" s="5">
        <v>613552</v>
      </c>
      <c r="W7" s="5">
        <v>0</v>
      </c>
      <c r="X7" s="1"/>
    </row>
    <row r="8" spans="1:24" x14ac:dyDescent="0.35">
      <c r="A8" s="11">
        <v>2017</v>
      </c>
      <c r="B8" s="1">
        <v>90199</v>
      </c>
      <c r="C8" s="1" t="s">
        <v>22</v>
      </c>
      <c r="D8" s="1" t="s">
        <v>23</v>
      </c>
      <c r="E8" s="1" t="s">
        <v>24</v>
      </c>
      <c r="F8" s="1">
        <v>64208</v>
      </c>
      <c r="G8" s="5">
        <v>945588</v>
      </c>
      <c r="H8" s="5">
        <v>84283</v>
      </c>
      <c r="I8" s="1">
        <v>197570</v>
      </c>
      <c r="J8" s="1">
        <v>14864</v>
      </c>
      <c r="K8" s="1">
        <v>103002</v>
      </c>
      <c r="L8" s="1">
        <v>7</v>
      </c>
      <c r="M8" s="1">
        <v>9.18</v>
      </c>
      <c r="N8" s="1">
        <v>4.7861000000000002</v>
      </c>
      <c r="O8" s="1">
        <v>63.62</v>
      </c>
      <c r="P8" s="10">
        <f>Table2[[#This Row],[UPT]]/Table2[[#This Row],[VRH]]</f>
        <v>6.9296286329386438</v>
      </c>
      <c r="Q8" s="1">
        <v>0.52129999999999999</v>
      </c>
      <c r="R8" s="6">
        <f>Table2[[#This Row],[Fare_Revenue]]/Table2[[#This Row],[Operating_Expenses]]</f>
        <v>8.9132899317673236E-2</v>
      </c>
      <c r="S8" s="1">
        <v>8.1</v>
      </c>
      <c r="T8" s="5">
        <v>398181</v>
      </c>
      <c r="U8" s="5">
        <v>809836</v>
      </c>
      <c r="V8" s="5">
        <v>665218</v>
      </c>
      <c r="W8" s="5">
        <v>0</v>
      </c>
      <c r="X8" s="1"/>
    </row>
    <row r="9" spans="1:24" x14ac:dyDescent="0.35">
      <c r="A9" s="11">
        <v>2017</v>
      </c>
      <c r="B9" s="1">
        <v>90199</v>
      </c>
      <c r="C9" s="1" t="s">
        <v>22</v>
      </c>
      <c r="D9" s="1" t="s">
        <v>25</v>
      </c>
      <c r="E9" s="1" t="s">
        <v>26</v>
      </c>
      <c r="F9" s="1">
        <v>64208</v>
      </c>
      <c r="G9" s="5">
        <v>927647</v>
      </c>
      <c r="H9" s="5">
        <v>22732</v>
      </c>
      <c r="I9" s="1">
        <v>169178</v>
      </c>
      <c r="J9" s="1">
        <v>13354</v>
      </c>
      <c r="K9" s="1">
        <v>35661</v>
      </c>
      <c r="L9" s="1">
        <v>9</v>
      </c>
      <c r="M9" s="1">
        <v>26.01</v>
      </c>
      <c r="N9" s="1">
        <v>5.4832999999999998</v>
      </c>
      <c r="O9" s="1">
        <v>69.47</v>
      </c>
      <c r="P9" s="10">
        <f>Table2[[#This Row],[UPT]]/Table2[[#This Row],[VRH]]</f>
        <v>2.6704358244720683</v>
      </c>
      <c r="Q9" s="1">
        <v>0.21079999999999999</v>
      </c>
      <c r="R9" s="6">
        <f>Table2[[#This Row],[Fare_Revenue]]/Table2[[#This Row],[Operating_Expenses]]</f>
        <v>2.4505011065631646E-2</v>
      </c>
      <c r="S9" s="1">
        <v>5.4</v>
      </c>
      <c r="T9" s="5">
        <v>398181</v>
      </c>
      <c r="U9" s="5">
        <v>809836</v>
      </c>
      <c r="V9" s="5">
        <v>665218</v>
      </c>
      <c r="W9" s="5">
        <v>0</v>
      </c>
      <c r="X9" s="1"/>
    </row>
    <row r="10" spans="1:24" x14ac:dyDescent="0.35">
      <c r="A10" s="11">
        <v>2018</v>
      </c>
      <c r="B10" s="1">
        <v>90199</v>
      </c>
      <c r="C10" s="1" t="s">
        <v>22</v>
      </c>
      <c r="D10" s="1" t="s">
        <v>23</v>
      </c>
      <c r="E10" s="1" t="s">
        <v>24</v>
      </c>
      <c r="F10" s="1">
        <v>66225</v>
      </c>
      <c r="G10" s="5">
        <v>1067811</v>
      </c>
      <c r="H10" s="5">
        <v>97935</v>
      </c>
      <c r="I10" s="1">
        <v>204726</v>
      </c>
      <c r="J10" s="1">
        <v>15495</v>
      </c>
      <c r="K10" s="1">
        <v>111564</v>
      </c>
      <c r="L10" s="1">
        <v>8</v>
      </c>
      <c r="M10" s="1">
        <v>9.57</v>
      </c>
      <c r="N10" s="1">
        <v>5.2157999999999998</v>
      </c>
      <c r="O10" s="1">
        <v>68.91</v>
      </c>
      <c r="P10" s="10">
        <f>Table2[[#This Row],[UPT]]/Table2[[#This Row],[VRH]]</f>
        <v>7.2</v>
      </c>
      <c r="Q10" s="1">
        <v>0.54490000000000005</v>
      </c>
      <c r="R10" s="6">
        <f>Table2[[#This Row],[Fare_Revenue]]/Table2[[#This Row],[Operating_Expenses]]</f>
        <v>9.1715668784082577E-2</v>
      </c>
      <c r="S10" s="1">
        <v>9.1</v>
      </c>
      <c r="T10" s="5">
        <v>451870</v>
      </c>
      <c r="U10" s="5">
        <v>927853</v>
      </c>
      <c r="V10" s="5">
        <v>755234</v>
      </c>
      <c r="W10" s="5">
        <v>0</v>
      </c>
      <c r="X10" s="1"/>
    </row>
    <row r="11" spans="1:24" x14ac:dyDescent="0.35">
      <c r="A11" s="11">
        <v>2018</v>
      </c>
      <c r="B11" s="1">
        <v>90199</v>
      </c>
      <c r="C11" s="1" t="s">
        <v>22</v>
      </c>
      <c r="D11" s="1" t="s">
        <v>25</v>
      </c>
      <c r="E11" s="1" t="s">
        <v>26</v>
      </c>
      <c r="F11" s="1">
        <v>66225</v>
      </c>
      <c r="G11" s="5">
        <v>1067146</v>
      </c>
      <c r="H11" s="5">
        <v>21128</v>
      </c>
      <c r="I11" s="1">
        <v>149147</v>
      </c>
      <c r="J11" s="1">
        <v>11179</v>
      </c>
      <c r="K11" s="1">
        <v>32224</v>
      </c>
      <c r="L11" s="1">
        <v>9</v>
      </c>
      <c r="M11" s="1">
        <v>33.119999999999997</v>
      </c>
      <c r="N11" s="1">
        <v>7.1550000000000002</v>
      </c>
      <c r="O11" s="1">
        <v>95.46</v>
      </c>
      <c r="P11" s="10">
        <f>Table2[[#This Row],[UPT]]/Table2[[#This Row],[VRH]]</f>
        <v>2.8825476339565257</v>
      </c>
      <c r="Q11" s="1">
        <v>0.21609999999999999</v>
      </c>
      <c r="R11" s="6">
        <f>Table2[[#This Row],[Fare_Revenue]]/Table2[[#This Row],[Operating_Expenses]]</f>
        <v>1.9798603002775628E-2</v>
      </c>
      <c r="S11" s="1">
        <v>6.4</v>
      </c>
      <c r="T11" s="5">
        <v>451870</v>
      </c>
      <c r="U11" s="5">
        <v>927853</v>
      </c>
      <c r="V11" s="5">
        <v>755234</v>
      </c>
      <c r="W11" s="5">
        <v>0</v>
      </c>
      <c r="X11" s="1"/>
    </row>
    <row r="12" spans="1:24" x14ac:dyDescent="0.35">
      <c r="A12" s="11">
        <v>2019</v>
      </c>
      <c r="B12" s="1">
        <v>90199</v>
      </c>
      <c r="C12" s="1" t="s">
        <v>22</v>
      </c>
      <c r="D12" s="1" t="s">
        <v>23</v>
      </c>
      <c r="E12" s="1" t="s">
        <v>24</v>
      </c>
      <c r="F12" s="1">
        <v>66225</v>
      </c>
      <c r="G12" s="5">
        <v>1067697</v>
      </c>
      <c r="H12" s="5">
        <v>126876</v>
      </c>
      <c r="I12" s="1">
        <v>242305</v>
      </c>
      <c r="J12" s="1">
        <v>19119</v>
      </c>
      <c r="K12" s="1">
        <v>89650</v>
      </c>
      <c r="L12" s="1">
        <v>8</v>
      </c>
      <c r="M12" s="1">
        <v>11.91</v>
      </c>
      <c r="N12" s="1">
        <v>4.4063999999999997</v>
      </c>
      <c r="O12" s="1">
        <v>55.84</v>
      </c>
      <c r="P12" s="10">
        <f>Table2[[#This Row],[UPT]]/Table2[[#This Row],[VRH]]</f>
        <v>4.6890527747267114</v>
      </c>
      <c r="Q12" s="1">
        <v>0.37</v>
      </c>
      <c r="R12" s="6">
        <f>Table2[[#This Row],[Fare_Revenue]]/Table2[[#This Row],[Operating_Expenses]]</f>
        <v>0.11883146623058789</v>
      </c>
      <c r="S12" s="1">
        <v>10.1</v>
      </c>
      <c r="T12" s="5">
        <v>426337</v>
      </c>
      <c r="U12" s="5">
        <v>909581</v>
      </c>
      <c r="V12" s="5">
        <v>813957</v>
      </c>
      <c r="W12" s="5">
        <v>0</v>
      </c>
      <c r="X12" s="1"/>
    </row>
    <row r="13" spans="1:24" x14ac:dyDescent="0.35">
      <c r="A13" s="11">
        <v>2019</v>
      </c>
      <c r="B13" s="1">
        <v>90199</v>
      </c>
      <c r="C13" s="1" t="s">
        <v>22</v>
      </c>
      <c r="D13" s="1" t="s">
        <v>25</v>
      </c>
      <c r="E13" s="1" t="s">
        <v>26</v>
      </c>
      <c r="F13" s="1">
        <v>66225</v>
      </c>
      <c r="G13" s="5">
        <v>1082178</v>
      </c>
      <c r="H13" s="5">
        <v>46970</v>
      </c>
      <c r="I13" s="1">
        <v>101922</v>
      </c>
      <c r="J13" s="1">
        <v>10313</v>
      </c>
      <c r="K13" s="1">
        <v>20981</v>
      </c>
      <c r="L13" s="1">
        <v>9</v>
      </c>
      <c r="M13" s="1">
        <v>51.58</v>
      </c>
      <c r="N13" s="1">
        <v>10.617699999999999</v>
      </c>
      <c r="O13" s="1">
        <v>104.93</v>
      </c>
      <c r="P13" s="10">
        <f>Table2[[#This Row],[UPT]]/Table2[[#This Row],[VRH]]</f>
        <v>2.0344225734509842</v>
      </c>
      <c r="Q13" s="1">
        <v>0.2059</v>
      </c>
      <c r="R13" s="6">
        <f>Table2[[#This Row],[Fare_Revenue]]/Table2[[#This Row],[Operating_Expenses]]</f>
        <v>4.3403210932027821E-2</v>
      </c>
      <c r="S13" s="1">
        <v>7.4</v>
      </c>
      <c r="T13" s="5">
        <v>426337</v>
      </c>
      <c r="U13" s="5">
        <v>909581</v>
      </c>
      <c r="V13" s="5">
        <v>813957</v>
      </c>
      <c r="W13" s="5">
        <v>0</v>
      </c>
      <c r="X13" s="1"/>
    </row>
    <row r="14" spans="1:24" x14ac:dyDescent="0.35">
      <c r="A14" s="11">
        <v>2020</v>
      </c>
      <c r="B14" s="1">
        <v>90199</v>
      </c>
      <c r="C14" s="1" t="s">
        <v>22</v>
      </c>
      <c r="D14" s="1" t="s">
        <v>23</v>
      </c>
      <c r="E14" s="1" t="s">
        <v>24</v>
      </c>
      <c r="F14" s="1">
        <v>66225</v>
      </c>
      <c r="G14" s="5">
        <v>1327094</v>
      </c>
      <c r="H14" s="5">
        <v>81501</v>
      </c>
      <c r="I14" s="1">
        <v>241800</v>
      </c>
      <c r="J14" s="1">
        <v>17776</v>
      </c>
      <c r="K14" s="1">
        <v>82716</v>
      </c>
      <c r="L14" s="1">
        <v>16</v>
      </c>
      <c r="M14" s="1">
        <v>16.04</v>
      </c>
      <c r="N14" s="1">
        <v>5.4884000000000004</v>
      </c>
      <c r="O14" s="1">
        <v>74.66</v>
      </c>
      <c r="P14" s="10">
        <f>Table2[[#This Row],[UPT]]/Table2[[#This Row],[VRH]]</f>
        <v>4.653240324032403</v>
      </c>
      <c r="Q14" s="1">
        <v>0.34210000000000002</v>
      </c>
      <c r="R14" s="6">
        <f>Table2[[#This Row],[Fare_Revenue]]/Table2[[#This Row],[Operating_Expenses]]</f>
        <v>6.1413132754725742E-2</v>
      </c>
      <c r="S14" s="1">
        <v>6.3</v>
      </c>
      <c r="T14" s="5">
        <v>145468</v>
      </c>
      <c r="U14" s="5">
        <v>1094387</v>
      </c>
      <c r="V14" s="5">
        <v>1192282</v>
      </c>
      <c r="W14" s="5">
        <v>0</v>
      </c>
      <c r="X14" s="1"/>
    </row>
    <row r="15" spans="1:24" x14ac:dyDescent="0.35">
      <c r="A15" s="11">
        <v>2020</v>
      </c>
      <c r="B15" s="1">
        <v>90199</v>
      </c>
      <c r="C15" s="1" t="s">
        <v>22</v>
      </c>
      <c r="D15" s="1" t="s">
        <v>25</v>
      </c>
      <c r="E15" s="1" t="s">
        <v>26</v>
      </c>
      <c r="F15" s="1">
        <v>66225</v>
      </c>
      <c r="G15" s="5">
        <v>1105043</v>
      </c>
      <c r="H15" s="5">
        <v>38637</v>
      </c>
      <c r="I15" s="1">
        <v>72130</v>
      </c>
      <c r="J15" s="1">
        <v>8047</v>
      </c>
      <c r="K15" s="1">
        <v>12755</v>
      </c>
      <c r="L15" s="1">
        <v>8</v>
      </c>
      <c r="M15" s="1">
        <v>86.64</v>
      </c>
      <c r="N15" s="1">
        <v>15.3202</v>
      </c>
      <c r="O15" s="1">
        <v>137.32</v>
      </c>
      <c r="P15" s="10">
        <f>Table2[[#This Row],[UPT]]/Table2[[#This Row],[VRH]]</f>
        <v>1.5850627563066981</v>
      </c>
      <c r="Q15" s="1">
        <v>0.17680000000000001</v>
      </c>
      <c r="R15" s="6">
        <f>Table2[[#This Row],[Fare_Revenue]]/Table2[[#This Row],[Operating_Expenses]]</f>
        <v>3.4964250259944638E-2</v>
      </c>
      <c r="S15" s="1">
        <v>7.3</v>
      </c>
      <c r="T15" s="5">
        <v>145468</v>
      </c>
      <c r="U15" s="5">
        <v>1094387</v>
      </c>
      <c r="V15" s="5">
        <v>1192282</v>
      </c>
      <c r="W15" s="5">
        <v>0</v>
      </c>
      <c r="X15" s="1"/>
    </row>
    <row r="16" spans="1:24" x14ac:dyDescent="0.35">
      <c r="A16" s="11">
        <v>2021</v>
      </c>
      <c r="B16" s="1">
        <v>90199</v>
      </c>
      <c r="C16" s="1" t="s">
        <v>22</v>
      </c>
      <c r="D16" s="1" t="s">
        <v>23</v>
      </c>
      <c r="E16" s="1" t="s">
        <v>24</v>
      </c>
      <c r="F16" s="1">
        <v>66225</v>
      </c>
      <c r="G16" s="5">
        <v>1377788</v>
      </c>
      <c r="H16" s="5">
        <v>0</v>
      </c>
      <c r="I16" s="1">
        <v>212951</v>
      </c>
      <c r="J16" s="1">
        <v>16171</v>
      </c>
      <c r="K16" s="1">
        <v>55734</v>
      </c>
      <c r="L16" s="1">
        <v>13</v>
      </c>
      <c r="M16" s="1">
        <v>24.72</v>
      </c>
      <c r="N16" s="1">
        <v>6.47</v>
      </c>
      <c r="O16" s="1">
        <v>85.2</v>
      </c>
      <c r="P16" s="10">
        <f>Table2[[#This Row],[UPT]]/Table2[[#This Row],[VRH]]</f>
        <v>3.446540102652897</v>
      </c>
      <c r="Q16" s="1">
        <v>0.26169999999999999</v>
      </c>
      <c r="R16" s="6">
        <f>Table2[[#This Row],[Fare_Revenue]]/Table2[[#This Row],[Operating_Expenses]]</f>
        <v>0</v>
      </c>
      <c r="S16" s="1">
        <v>4.5</v>
      </c>
      <c r="T16" s="5">
        <v>25330</v>
      </c>
      <c r="U16" s="5">
        <v>1270464</v>
      </c>
      <c r="V16" s="5">
        <v>1097845</v>
      </c>
      <c r="W16" s="5">
        <v>0</v>
      </c>
      <c r="X16" s="1"/>
    </row>
    <row r="17" spans="1:24" x14ac:dyDescent="0.35">
      <c r="A17" s="11">
        <v>2021</v>
      </c>
      <c r="B17" s="1">
        <v>90199</v>
      </c>
      <c r="C17" s="1" t="s">
        <v>22</v>
      </c>
      <c r="D17" s="1" t="s">
        <v>25</v>
      </c>
      <c r="E17" s="1" t="s">
        <v>26</v>
      </c>
      <c r="F17" s="1">
        <v>66225</v>
      </c>
      <c r="G17" s="5">
        <v>1015851</v>
      </c>
      <c r="H17" s="5">
        <v>0</v>
      </c>
      <c r="I17" s="1">
        <v>30721</v>
      </c>
      <c r="J17" s="1">
        <v>2996</v>
      </c>
      <c r="K17" s="1">
        <v>4345</v>
      </c>
      <c r="L17" s="1">
        <v>6</v>
      </c>
      <c r="M17" s="1">
        <v>233.8</v>
      </c>
      <c r="N17" s="1">
        <v>33.067</v>
      </c>
      <c r="O17" s="1">
        <v>339.07</v>
      </c>
      <c r="P17" s="10">
        <f>Table2[[#This Row],[UPT]]/Table2[[#This Row],[VRH]]</f>
        <v>1.4502670226969292</v>
      </c>
      <c r="Q17" s="1">
        <v>0.1414</v>
      </c>
      <c r="R17" s="6">
        <f>Table2[[#This Row],[Fare_Revenue]]/Table2[[#This Row],[Operating_Expenses]]</f>
        <v>0</v>
      </c>
      <c r="S17" s="1">
        <v>7.5</v>
      </c>
      <c r="T17" s="5">
        <v>25330</v>
      </c>
      <c r="U17" s="5">
        <v>1270464</v>
      </c>
      <c r="V17" s="5">
        <v>1097845</v>
      </c>
      <c r="W17" s="5">
        <v>0</v>
      </c>
      <c r="X17" s="1"/>
    </row>
    <row r="18" spans="1:24" x14ac:dyDescent="0.35">
      <c r="A18" s="11">
        <v>2022</v>
      </c>
      <c r="B18" s="1">
        <v>90199</v>
      </c>
      <c r="C18" s="1" t="s">
        <v>22</v>
      </c>
      <c r="D18" s="1" t="s">
        <v>23</v>
      </c>
      <c r="E18" s="1" t="s">
        <v>24</v>
      </c>
      <c r="F18" s="1">
        <v>66225</v>
      </c>
      <c r="G18" s="5">
        <v>1681016</v>
      </c>
      <c r="H18" s="5">
        <v>0</v>
      </c>
      <c r="I18" s="1">
        <v>182317</v>
      </c>
      <c r="J18" s="1">
        <v>11824</v>
      </c>
      <c r="K18" s="1">
        <v>45912</v>
      </c>
      <c r="L18" s="1">
        <v>13</v>
      </c>
      <c r="M18" s="1">
        <v>36.61</v>
      </c>
      <c r="N18" s="1">
        <v>9.2202999999999999</v>
      </c>
      <c r="O18" s="1">
        <v>142.16999999999999</v>
      </c>
      <c r="P18" s="10">
        <f>Table2[[#This Row],[UPT]]/Table2[[#This Row],[VRH]]</f>
        <v>3.8829499323410013</v>
      </c>
      <c r="Q18" s="1">
        <v>0.25180000000000002</v>
      </c>
      <c r="R18" s="6">
        <f>Table2[[#This Row],[Fare_Revenue]]/Table2[[#This Row],[Operating_Expenses]]</f>
        <v>0</v>
      </c>
      <c r="S18" s="1">
        <v>5.5</v>
      </c>
      <c r="T18" s="5">
        <v>37641</v>
      </c>
      <c r="U18" s="5">
        <v>2619708</v>
      </c>
      <c r="V18" s="5">
        <v>204038</v>
      </c>
      <c r="W18" s="5">
        <v>0</v>
      </c>
      <c r="X18" s="1"/>
    </row>
    <row r="19" spans="1:24" x14ac:dyDescent="0.35">
      <c r="A19" s="11">
        <v>2022</v>
      </c>
      <c r="B19" s="1">
        <v>90199</v>
      </c>
      <c r="C19" s="1" t="s">
        <v>22</v>
      </c>
      <c r="D19" s="1" t="s">
        <v>25</v>
      </c>
      <c r="E19" s="1" t="s">
        <v>26</v>
      </c>
      <c r="F19" s="1">
        <v>66225</v>
      </c>
      <c r="G19" s="5">
        <v>1180371</v>
      </c>
      <c r="H19" s="5">
        <v>0</v>
      </c>
      <c r="I19" s="1">
        <v>62178</v>
      </c>
      <c r="J19" s="1">
        <v>4183</v>
      </c>
      <c r="K19" s="1">
        <v>6252</v>
      </c>
      <c r="L19" s="1">
        <v>6</v>
      </c>
      <c r="M19" s="1">
        <v>188.8</v>
      </c>
      <c r="N19" s="1">
        <v>18.983699999999999</v>
      </c>
      <c r="O19" s="1">
        <v>282.18</v>
      </c>
      <c r="P19" s="10">
        <f>Table2[[#This Row],[UPT]]/Table2[[#This Row],[VRH]]</f>
        <v>1.4946210853454458</v>
      </c>
      <c r="Q19" s="1">
        <v>0.10059999999999999</v>
      </c>
      <c r="R19" s="6">
        <f>Table2[[#This Row],[Fare_Revenue]]/Table2[[#This Row],[Operating_Expenses]]</f>
        <v>0</v>
      </c>
      <c r="S19" s="1">
        <v>8.5</v>
      </c>
      <c r="T19" s="5">
        <v>37641</v>
      </c>
      <c r="U19" s="5">
        <v>2619708</v>
      </c>
      <c r="V19" s="5">
        <v>204038</v>
      </c>
      <c r="W19" s="5">
        <v>0</v>
      </c>
      <c r="X19" s="1"/>
    </row>
    <row r="20" spans="1:24" x14ac:dyDescent="0.35">
      <c r="A20" s="11">
        <v>2023</v>
      </c>
      <c r="B20" s="1">
        <v>90199</v>
      </c>
      <c r="C20" s="1" t="s">
        <v>22</v>
      </c>
      <c r="D20" s="1" t="s">
        <v>23</v>
      </c>
      <c r="E20" s="1" t="s">
        <v>24</v>
      </c>
      <c r="F20" s="1">
        <v>66225</v>
      </c>
      <c r="G20" s="5">
        <v>1584061</v>
      </c>
      <c r="H20" s="5">
        <v>0</v>
      </c>
      <c r="I20" s="1">
        <v>203428</v>
      </c>
      <c r="J20" s="1">
        <v>14126</v>
      </c>
      <c r="K20" s="1">
        <v>62770</v>
      </c>
      <c r="L20" s="1">
        <v>11</v>
      </c>
      <c r="M20" s="1">
        <v>25.24</v>
      </c>
      <c r="N20" s="1">
        <v>7.7868000000000004</v>
      </c>
      <c r="O20" s="1">
        <v>112.14</v>
      </c>
      <c r="P20" s="10">
        <f>Table2[[#This Row],[UPT]]/Table2[[#This Row],[VRH]]</f>
        <v>4.4435792156307521</v>
      </c>
      <c r="Q20" s="1">
        <v>0.30859999999999999</v>
      </c>
      <c r="R20" s="6">
        <f>Table2[[#This Row],[Fare_Revenue]]/Table2[[#This Row],[Operating_Expenses]]</f>
        <v>0</v>
      </c>
      <c r="S20" s="1">
        <v>5.4</v>
      </c>
      <c r="T20" s="5">
        <v>32755</v>
      </c>
      <c r="U20" s="5">
        <v>1162309</v>
      </c>
      <c r="V20" s="5">
        <v>1586794</v>
      </c>
      <c r="W20" s="5">
        <v>0</v>
      </c>
      <c r="X20" s="1"/>
    </row>
    <row r="21" spans="1:24" x14ac:dyDescent="0.35">
      <c r="A21" s="11">
        <v>2023</v>
      </c>
      <c r="B21" s="1">
        <v>90199</v>
      </c>
      <c r="C21" s="1" t="s">
        <v>22</v>
      </c>
      <c r="D21" s="1" t="s">
        <v>25</v>
      </c>
      <c r="E21" s="1" t="s">
        <v>26</v>
      </c>
      <c r="F21" s="1">
        <v>66225</v>
      </c>
      <c r="G21" s="5">
        <v>1197797</v>
      </c>
      <c r="H21" s="5">
        <v>904</v>
      </c>
      <c r="I21" s="1">
        <v>80387</v>
      </c>
      <c r="J21" s="1">
        <v>5760</v>
      </c>
      <c r="K21" s="1">
        <v>13164</v>
      </c>
      <c r="L21" s="1">
        <v>6</v>
      </c>
      <c r="M21" s="1">
        <v>90.99</v>
      </c>
      <c r="N21" s="1">
        <v>14.900399999999999</v>
      </c>
      <c r="O21" s="1">
        <v>207.95</v>
      </c>
      <c r="P21" s="10">
        <f>Table2[[#This Row],[UPT]]/Table2[[#This Row],[VRH]]</f>
        <v>2.2854166666666669</v>
      </c>
      <c r="Q21" s="1">
        <v>0.1638</v>
      </c>
      <c r="R21" s="6">
        <f>Table2[[#This Row],[Fare_Revenue]]/Table2[[#This Row],[Operating_Expenses]]</f>
        <v>7.5471887139473548E-4</v>
      </c>
      <c r="S21" s="1">
        <v>9.5</v>
      </c>
      <c r="T21" s="5">
        <v>32755</v>
      </c>
      <c r="U21" s="5">
        <v>1162309</v>
      </c>
      <c r="V21" s="5">
        <v>1586794</v>
      </c>
      <c r="W21" s="5">
        <v>0</v>
      </c>
      <c r="X21" s="1"/>
    </row>
    <row r="22" spans="1:24" x14ac:dyDescent="0.35">
      <c r="A22" s="11">
        <v>2024</v>
      </c>
      <c r="B22" s="1">
        <v>90199</v>
      </c>
      <c r="C22" s="1" t="s">
        <v>22</v>
      </c>
      <c r="D22" s="1" t="s">
        <v>23</v>
      </c>
      <c r="E22" s="1" t="s">
        <v>24</v>
      </c>
      <c r="F22" s="1">
        <v>66225</v>
      </c>
      <c r="G22" s="5">
        <v>1949330</v>
      </c>
      <c r="H22" s="5">
        <v>0</v>
      </c>
      <c r="I22" s="1">
        <v>253314</v>
      </c>
      <c r="J22" s="1">
        <v>16823</v>
      </c>
      <c r="K22" s="1">
        <v>77213</v>
      </c>
      <c r="L22" s="1">
        <v>14</v>
      </c>
      <c r="M22" s="1">
        <v>25.25</v>
      </c>
      <c r="N22" s="1">
        <v>7.6952999999999996</v>
      </c>
      <c r="O22" s="1">
        <v>115.87</v>
      </c>
      <c r="P22" s="10">
        <f>Table2[[#This Row],[UPT]]/Table2[[#This Row],[VRH]]</f>
        <v>4.5897283480948703</v>
      </c>
      <c r="Q22" s="1">
        <v>0.30480000000000002</v>
      </c>
      <c r="R22" s="6">
        <f>Table2[[#This Row],[Fare_Revenue]]/Table2[[#This Row],[Operating_Expenses]]</f>
        <v>0</v>
      </c>
      <c r="S22" s="1">
        <v>5.2</v>
      </c>
      <c r="T22" s="5">
        <v>37576</v>
      </c>
      <c r="U22" s="5">
        <v>1272285</v>
      </c>
      <c r="V22" s="5">
        <v>1990782</v>
      </c>
      <c r="W22" s="5">
        <v>0</v>
      </c>
      <c r="X22" s="1"/>
    </row>
    <row r="23" spans="1:24" x14ac:dyDescent="0.35">
      <c r="A23" s="11">
        <v>2024</v>
      </c>
      <c r="B23" s="1">
        <v>90199</v>
      </c>
      <c r="C23" s="1" t="s">
        <v>22</v>
      </c>
      <c r="D23" s="1" t="s">
        <v>25</v>
      </c>
      <c r="E23" s="1" t="s">
        <v>26</v>
      </c>
      <c r="F23" s="1">
        <v>66225</v>
      </c>
      <c r="G23" s="5">
        <v>1351313</v>
      </c>
      <c r="H23" s="5">
        <v>3340</v>
      </c>
      <c r="I23" s="1">
        <v>104345</v>
      </c>
      <c r="J23" s="1">
        <v>7969</v>
      </c>
      <c r="K23" s="1">
        <v>17677</v>
      </c>
      <c r="L23" s="1">
        <v>8</v>
      </c>
      <c r="M23" s="1">
        <v>76.44</v>
      </c>
      <c r="N23" s="1">
        <v>12.9504</v>
      </c>
      <c r="O23" s="1">
        <v>169.57</v>
      </c>
      <c r="P23" s="10">
        <f>Table2[[#This Row],[UPT]]/Table2[[#This Row],[VRH]]</f>
        <v>2.2182206048437698</v>
      </c>
      <c r="Q23" s="1">
        <v>0.1694</v>
      </c>
      <c r="R23" s="6">
        <f>Table2[[#This Row],[Fare_Revenue]]/Table2[[#This Row],[Operating_Expenses]]</f>
        <v>2.4716701459987435E-3</v>
      </c>
      <c r="S23" s="1">
        <v>7.1</v>
      </c>
      <c r="T23" s="5">
        <v>37576</v>
      </c>
      <c r="U23" s="5">
        <v>1272285</v>
      </c>
      <c r="V23" s="5">
        <v>1990782</v>
      </c>
      <c r="W23" s="5">
        <v>0</v>
      </c>
      <c r="X23" s="1"/>
    </row>
    <row r="26" spans="1:24" x14ac:dyDescent="0.35">
      <c r="C26" s="1"/>
    </row>
    <row r="49" spans="5:5" x14ac:dyDescent="0.35">
      <c r="E49" t="s">
        <v>34</v>
      </c>
    </row>
  </sheetData>
  <pageMargins left="0.7" right="0.7" top="0.75" bottom="0.75" header="0.3" footer="0.3"/>
  <pageSetup scale="28"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69EB5-4A17-44A8-BC06-1BF3820A42EF}">
  <dimension ref="A1:Q312"/>
  <sheetViews>
    <sheetView topLeftCell="F1" zoomScale="85" zoomScaleNormal="85" workbookViewId="0">
      <selection activeCell="I12" sqref="I12"/>
    </sheetView>
  </sheetViews>
  <sheetFormatPr defaultRowHeight="14.5" x14ac:dyDescent="0.35"/>
  <cols>
    <col min="1" max="1" width="7.453125" bestFit="1" customWidth="1"/>
    <col min="2" max="2" width="10" bestFit="1" customWidth="1"/>
    <col min="3" max="3" width="13.1796875" bestFit="1" customWidth="1"/>
    <col min="4" max="4" width="16.453125" bestFit="1" customWidth="1"/>
    <col min="5" max="5" width="13.90625" bestFit="1" customWidth="1"/>
    <col min="6" max="6" width="19.453125" bestFit="1" customWidth="1"/>
    <col min="7" max="7" width="22.26953125" bestFit="1" customWidth="1"/>
    <col min="8" max="8" width="20.1796875" bestFit="1" customWidth="1"/>
    <col min="9" max="9" width="20" bestFit="1" customWidth="1"/>
    <col min="10" max="10" width="19.90625" bestFit="1" customWidth="1"/>
    <col min="11" max="11" width="12.7265625" bestFit="1" customWidth="1"/>
    <col min="14" max="14" width="13.1796875" bestFit="1" customWidth="1"/>
    <col min="15" max="15" width="16.81640625" bestFit="1" customWidth="1"/>
    <col min="16" max="16" width="14.7265625" bestFit="1" customWidth="1"/>
    <col min="17" max="17" width="10.81640625" bestFit="1" customWidth="1"/>
  </cols>
  <sheetData>
    <row r="1" spans="1:17" x14ac:dyDescent="0.35">
      <c r="A1" s="21" t="s">
        <v>0</v>
      </c>
      <c r="B1" s="21" t="s">
        <v>1</v>
      </c>
      <c r="C1" s="21" t="s">
        <v>2</v>
      </c>
      <c r="D1" s="21" t="s">
        <v>3</v>
      </c>
      <c r="E1" s="21" t="s">
        <v>4</v>
      </c>
      <c r="F1" s="21" t="s">
        <v>18</v>
      </c>
      <c r="G1" s="21" t="s">
        <v>19</v>
      </c>
      <c r="H1" s="21" t="s">
        <v>20</v>
      </c>
      <c r="I1" s="21" t="s">
        <v>21</v>
      </c>
      <c r="J1" s="21" t="s">
        <v>33</v>
      </c>
      <c r="K1" s="21" t="s">
        <v>31</v>
      </c>
    </row>
    <row r="2" spans="1:17" x14ac:dyDescent="0.35">
      <c r="A2" s="21">
        <v>2014</v>
      </c>
      <c r="B2" s="21">
        <v>90199</v>
      </c>
      <c r="C2" s="9" t="s">
        <v>22</v>
      </c>
      <c r="D2" s="9" t="s">
        <v>23</v>
      </c>
      <c r="E2" s="9" t="s">
        <v>24</v>
      </c>
      <c r="F2" s="21" t="s">
        <v>27</v>
      </c>
      <c r="G2" s="21" t="s">
        <v>27</v>
      </c>
      <c r="H2" s="21" t="s">
        <v>27</v>
      </c>
      <c r="I2" s="21" t="s">
        <v>27</v>
      </c>
      <c r="J2" s="9" t="s">
        <v>5</v>
      </c>
      <c r="K2" s="9">
        <v>62514</v>
      </c>
    </row>
    <row r="3" spans="1:17" ht="20" thickBot="1" x14ac:dyDescent="0.5">
      <c r="A3" s="21">
        <v>2014</v>
      </c>
      <c r="B3" s="21">
        <v>90199</v>
      </c>
      <c r="C3" s="9" t="s">
        <v>22</v>
      </c>
      <c r="D3" s="9" t="s">
        <v>23</v>
      </c>
      <c r="E3" s="9" t="s">
        <v>24</v>
      </c>
      <c r="F3" s="21" t="s">
        <v>27</v>
      </c>
      <c r="G3" s="21" t="s">
        <v>27</v>
      </c>
      <c r="H3" s="21" t="s">
        <v>27</v>
      </c>
      <c r="I3" s="21" t="s">
        <v>27</v>
      </c>
      <c r="J3" s="9" t="s">
        <v>6</v>
      </c>
      <c r="K3" s="9">
        <v>845828</v>
      </c>
      <c r="N3" s="14" t="s">
        <v>41</v>
      </c>
      <c r="O3" s="14"/>
    </row>
    <row r="4" spans="1:17" ht="15" thickTop="1" x14ac:dyDescent="0.35">
      <c r="A4" s="21">
        <v>2014</v>
      </c>
      <c r="B4" s="21">
        <v>90199</v>
      </c>
      <c r="C4" s="9" t="s">
        <v>22</v>
      </c>
      <c r="D4" s="9" t="s">
        <v>23</v>
      </c>
      <c r="E4" s="9" t="s">
        <v>24</v>
      </c>
      <c r="F4" s="21" t="s">
        <v>27</v>
      </c>
      <c r="G4" s="21" t="s">
        <v>27</v>
      </c>
      <c r="H4" s="21" t="s">
        <v>27</v>
      </c>
      <c r="I4" s="21" t="s">
        <v>27</v>
      </c>
      <c r="J4" s="9" t="s">
        <v>7</v>
      </c>
      <c r="K4" s="9">
        <v>105350</v>
      </c>
    </row>
    <row r="5" spans="1:17" x14ac:dyDescent="0.35">
      <c r="A5" s="21">
        <v>2014</v>
      </c>
      <c r="B5" s="21">
        <v>90199</v>
      </c>
      <c r="C5" s="9" t="s">
        <v>22</v>
      </c>
      <c r="D5" s="9" t="s">
        <v>23</v>
      </c>
      <c r="E5" s="9" t="s">
        <v>24</v>
      </c>
      <c r="F5" s="21" t="s">
        <v>27</v>
      </c>
      <c r="G5" s="21" t="s">
        <v>27</v>
      </c>
      <c r="H5" s="21" t="s">
        <v>27</v>
      </c>
      <c r="I5" s="21" t="s">
        <v>27</v>
      </c>
      <c r="J5" s="9" t="s">
        <v>8</v>
      </c>
      <c r="K5" s="9">
        <v>178186</v>
      </c>
      <c r="N5" s="7" t="s">
        <v>33</v>
      </c>
      <c r="O5" s="21" t="s">
        <v>6</v>
      </c>
    </row>
    <row r="6" spans="1:17" x14ac:dyDescent="0.35">
      <c r="A6" s="21">
        <v>2014</v>
      </c>
      <c r="B6" s="21">
        <v>90199</v>
      </c>
      <c r="C6" s="9" t="s">
        <v>22</v>
      </c>
      <c r="D6" s="9" t="s">
        <v>23</v>
      </c>
      <c r="E6" s="9" t="s">
        <v>24</v>
      </c>
      <c r="F6" s="21" t="s">
        <v>27</v>
      </c>
      <c r="G6" s="21" t="s">
        <v>27</v>
      </c>
      <c r="H6" s="21" t="s">
        <v>27</v>
      </c>
      <c r="I6" s="21" t="s">
        <v>27</v>
      </c>
      <c r="J6" s="9" t="s">
        <v>9</v>
      </c>
      <c r="K6" s="9">
        <v>12560</v>
      </c>
    </row>
    <row r="7" spans="1:17" x14ac:dyDescent="0.35">
      <c r="A7" s="21">
        <v>2014</v>
      </c>
      <c r="B7" s="21">
        <v>90199</v>
      </c>
      <c r="C7" s="9" t="s">
        <v>22</v>
      </c>
      <c r="D7" s="9" t="s">
        <v>23</v>
      </c>
      <c r="E7" s="9" t="s">
        <v>24</v>
      </c>
      <c r="F7" s="21" t="s">
        <v>27</v>
      </c>
      <c r="G7" s="21" t="s">
        <v>27</v>
      </c>
      <c r="H7" s="21" t="s">
        <v>27</v>
      </c>
      <c r="I7" s="21" t="s">
        <v>27</v>
      </c>
      <c r="J7" s="9" t="s">
        <v>10</v>
      </c>
      <c r="K7" s="9">
        <v>143710</v>
      </c>
      <c r="N7" s="7" t="s">
        <v>32</v>
      </c>
      <c r="O7" s="7" t="s">
        <v>30</v>
      </c>
    </row>
    <row r="8" spans="1:17" x14ac:dyDescent="0.35">
      <c r="A8" s="21">
        <v>2014</v>
      </c>
      <c r="B8" s="21">
        <v>90199</v>
      </c>
      <c r="C8" s="9" t="s">
        <v>22</v>
      </c>
      <c r="D8" s="9" t="s">
        <v>23</v>
      </c>
      <c r="E8" s="9" t="s">
        <v>24</v>
      </c>
      <c r="F8" s="21" t="s">
        <v>27</v>
      </c>
      <c r="G8" s="21" t="s">
        <v>27</v>
      </c>
      <c r="H8" s="21" t="s">
        <v>27</v>
      </c>
      <c r="I8" s="21" t="s">
        <v>27</v>
      </c>
      <c r="J8" s="9" t="s">
        <v>11</v>
      </c>
      <c r="K8" s="9">
        <v>6</v>
      </c>
      <c r="N8" s="7" t="s">
        <v>28</v>
      </c>
      <c r="O8" s="21" t="s">
        <v>25</v>
      </c>
      <c r="P8" s="21" t="s">
        <v>23</v>
      </c>
      <c r="Q8" s="21" t="s">
        <v>29</v>
      </c>
    </row>
    <row r="9" spans="1:17" x14ac:dyDescent="0.35">
      <c r="A9" s="21">
        <v>2014</v>
      </c>
      <c r="B9" s="21">
        <v>90199</v>
      </c>
      <c r="C9" s="9" t="s">
        <v>22</v>
      </c>
      <c r="D9" s="9" t="s">
        <v>23</v>
      </c>
      <c r="E9" s="9" t="s">
        <v>24</v>
      </c>
      <c r="F9" s="21" t="s">
        <v>27</v>
      </c>
      <c r="G9" s="21" t="s">
        <v>27</v>
      </c>
      <c r="H9" s="21" t="s">
        <v>27</v>
      </c>
      <c r="I9" s="21" t="s">
        <v>27</v>
      </c>
      <c r="J9" s="9" t="s">
        <v>12</v>
      </c>
      <c r="K9" s="9">
        <v>5.89</v>
      </c>
      <c r="N9" s="8">
        <v>2014</v>
      </c>
      <c r="O9" s="9">
        <v>793120</v>
      </c>
      <c r="P9" s="9">
        <v>845828</v>
      </c>
      <c r="Q9" s="9">
        <v>1638948</v>
      </c>
    </row>
    <row r="10" spans="1:17" x14ac:dyDescent="0.35">
      <c r="A10" s="21">
        <v>2014</v>
      </c>
      <c r="B10" s="21">
        <v>90199</v>
      </c>
      <c r="C10" s="9" t="s">
        <v>22</v>
      </c>
      <c r="D10" s="9" t="s">
        <v>23</v>
      </c>
      <c r="E10" s="9" t="s">
        <v>24</v>
      </c>
      <c r="F10" s="21" t="s">
        <v>27</v>
      </c>
      <c r="G10" s="21" t="s">
        <v>27</v>
      </c>
      <c r="H10" s="21" t="s">
        <v>27</v>
      </c>
      <c r="I10" s="21" t="s">
        <v>27</v>
      </c>
      <c r="J10" s="9" t="s">
        <v>13</v>
      </c>
      <c r="K10" s="9">
        <v>4.7469000000000001</v>
      </c>
      <c r="N10" s="8">
        <v>2015</v>
      </c>
      <c r="O10" s="9">
        <v>751109</v>
      </c>
      <c r="P10" s="9">
        <v>712624</v>
      </c>
      <c r="Q10" s="9">
        <v>1463733</v>
      </c>
    </row>
    <row r="11" spans="1:17" x14ac:dyDescent="0.35">
      <c r="A11" s="21">
        <v>2014</v>
      </c>
      <c r="B11" s="21">
        <v>90199</v>
      </c>
      <c r="C11" s="9" t="s">
        <v>22</v>
      </c>
      <c r="D11" s="9" t="s">
        <v>23</v>
      </c>
      <c r="E11" s="9" t="s">
        <v>24</v>
      </c>
      <c r="F11" s="21" t="s">
        <v>27</v>
      </c>
      <c r="G11" s="21" t="s">
        <v>27</v>
      </c>
      <c r="H11" s="21" t="s">
        <v>27</v>
      </c>
      <c r="I11" s="21" t="s">
        <v>27</v>
      </c>
      <c r="J11" s="9" t="s">
        <v>14</v>
      </c>
      <c r="K11" s="9">
        <v>67.34</v>
      </c>
      <c r="N11" s="8">
        <v>2016</v>
      </c>
      <c r="O11" s="9">
        <v>901769</v>
      </c>
      <c r="P11" s="9">
        <v>846817</v>
      </c>
      <c r="Q11" s="9">
        <v>1748586</v>
      </c>
    </row>
    <row r="12" spans="1:17" x14ac:dyDescent="0.35">
      <c r="A12" s="21">
        <v>2014</v>
      </c>
      <c r="B12" s="21">
        <v>90199</v>
      </c>
      <c r="C12" s="9" t="s">
        <v>22</v>
      </c>
      <c r="D12" s="9" t="s">
        <v>23</v>
      </c>
      <c r="E12" s="9" t="s">
        <v>24</v>
      </c>
      <c r="F12" s="21" t="s">
        <v>27</v>
      </c>
      <c r="G12" s="21" t="s">
        <v>27</v>
      </c>
      <c r="H12" s="21" t="s">
        <v>27</v>
      </c>
      <c r="I12" s="21" t="s">
        <v>27</v>
      </c>
      <c r="J12" s="9" t="s">
        <v>45</v>
      </c>
      <c r="K12" s="9">
        <v>11.441878980891719</v>
      </c>
      <c r="N12" s="8">
        <v>2017</v>
      </c>
      <c r="O12" s="9">
        <v>927647</v>
      </c>
      <c r="P12" s="9">
        <v>945588</v>
      </c>
      <c r="Q12" s="9">
        <v>1873235</v>
      </c>
    </row>
    <row r="13" spans="1:17" x14ac:dyDescent="0.35">
      <c r="A13" s="21">
        <v>2014</v>
      </c>
      <c r="B13" s="21">
        <v>90199</v>
      </c>
      <c r="C13" s="9" t="s">
        <v>22</v>
      </c>
      <c r="D13" s="9" t="s">
        <v>23</v>
      </c>
      <c r="E13" s="9" t="s">
        <v>24</v>
      </c>
      <c r="F13" s="21" t="s">
        <v>27</v>
      </c>
      <c r="G13" s="21" t="s">
        <v>27</v>
      </c>
      <c r="H13" s="21" t="s">
        <v>27</v>
      </c>
      <c r="I13" s="21" t="s">
        <v>27</v>
      </c>
      <c r="J13" s="9" t="s">
        <v>15</v>
      </c>
      <c r="K13" s="9">
        <v>0.80649999999999999</v>
      </c>
      <c r="N13" s="8">
        <v>2018</v>
      </c>
      <c r="O13" s="9">
        <v>1067146</v>
      </c>
      <c r="P13" s="9">
        <v>1067811</v>
      </c>
      <c r="Q13" s="9">
        <v>2134957</v>
      </c>
    </row>
    <row r="14" spans="1:17" x14ac:dyDescent="0.35">
      <c r="A14" s="21">
        <v>2014</v>
      </c>
      <c r="B14" s="21">
        <v>90199</v>
      </c>
      <c r="C14" s="9" t="s">
        <v>22</v>
      </c>
      <c r="D14" s="9" t="s">
        <v>23</v>
      </c>
      <c r="E14" s="9" t="s">
        <v>24</v>
      </c>
      <c r="F14" s="21" t="s">
        <v>27</v>
      </c>
      <c r="G14" s="21" t="s">
        <v>27</v>
      </c>
      <c r="H14" s="21" t="s">
        <v>27</v>
      </c>
      <c r="I14" s="21" t="s">
        <v>27</v>
      </c>
      <c r="J14" s="9" t="s">
        <v>16</v>
      </c>
      <c r="K14" s="9">
        <v>0.12455250949365593</v>
      </c>
      <c r="N14" s="8">
        <v>2019</v>
      </c>
      <c r="O14" s="9">
        <v>1082178</v>
      </c>
      <c r="P14" s="9">
        <v>1067697</v>
      </c>
      <c r="Q14" s="9">
        <v>2149875</v>
      </c>
    </row>
    <row r="15" spans="1:17" x14ac:dyDescent="0.35">
      <c r="A15" s="21">
        <v>2014</v>
      </c>
      <c r="B15" s="21">
        <v>90199</v>
      </c>
      <c r="C15" s="9" t="s">
        <v>22</v>
      </c>
      <c r="D15" s="9" t="s">
        <v>23</v>
      </c>
      <c r="E15" s="9" t="s">
        <v>24</v>
      </c>
      <c r="F15" s="21" t="s">
        <v>27</v>
      </c>
      <c r="G15" s="21" t="s">
        <v>27</v>
      </c>
      <c r="H15" s="21" t="s">
        <v>27</v>
      </c>
      <c r="I15" s="21" t="s">
        <v>27</v>
      </c>
      <c r="J15" s="9" t="s">
        <v>17</v>
      </c>
      <c r="K15" s="9">
        <v>5.3</v>
      </c>
      <c r="N15" s="8">
        <v>2020</v>
      </c>
      <c r="O15" s="9">
        <v>1105043</v>
      </c>
      <c r="P15" s="9">
        <v>1327094</v>
      </c>
      <c r="Q15" s="9">
        <v>2432137</v>
      </c>
    </row>
    <row r="16" spans="1:17" x14ac:dyDescent="0.35">
      <c r="A16" s="21">
        <v>2014</v>
      </c>
      <c r="B16" s="21">
        <v>90199</v>
      </c>
      <c r="C16" s="9" t="s">
        <v>22</v>
      </c>
      <c r="D16" s="9" t="s">
        <v>25</v>
      </c>
      <c r="E16" s="9" t="s">
        <v>26</v>
      </c>
      <c r="F16" s="21" t="s">
        <v>27</v>
      </c>
      <c r="G16" s="21" t="s">
        <v>27</v>
      </c>
      <c r="H16" s="21" t="s">
        <v>27</v>
      </c>
      <c r="I16" s="21" t="s">
        <v>27</v>
      </c>
      <c r="J16" s="9" t="s">
        <v>5</v>
      </c>
      <c r="K16" s="9">
        <v>62514</v>
      </c>
      <c r="N16" s="8">
        <v>2021</v>
      </c>
      <c r="O16" s="9">
        <v>1015851</v>
      </c>
      <c r="P16" s="9">
        <v>1377788</v>
      </c>
      <c r="Q16" s="9">
        <v>2393639</v>
      </c>
    </row>
    <row r="17" spans="1:17" x14ac:dyDescent="0.35">
      <c r="A17" s="21">
        <v>2014</v>
      </c>
      <c r="B17" s="21">
        <v>90199</v>
      </c>
      <c r="C17" s="9" t="s">
        <v>22</v>
      </c>
      <c r="D17" s="9" t="s">
        <v>25</v>
      </c>
      <c r="E17" s="9" t="s">
        <v>26</v>
      </c>
      <c r="F17" s="21" t="s">
        <v>27</v>
      </c>
      <c r="G17" s="21" t="s">
        <v>27</v>
      </c>
      <c r="H17" s="21" t="s">
        <v>27</v>
      </c>
      <c r="I17" s="21" t="s">
        <v>27</v>
      </c>
      <c r="J17" s="9" t="s">
        <v>6</v>
      </c>
      <c r="K17" s="9">
        <v>793120</v>
      </c>
      <c r="N17" s="8">
        <v>2022</v>
      </c>
      <c r="O17" s="9">
        <v>1180371</v>
      </c>
      <c r="P17" s="9">
        <v>1681016</v>
      </c>
      <c r="Q17" s="9">
        <v>2861387</v>
      </c>
    </row>
    <row r="18" spans="1:17" x14ac:dyDescent="0.35">
      <c r="A18" s="21">
        <v>2014</v>
      </c>
      <c r="B18" s="21">
        <v>90199</v>
      </c>
      <c r="C18" s="9" t="s">
        <v>22</v>
      </c>
      <c r="D18" s="9" t="s">
        <v>25</v>
      </c>
      <c r="E18" s="9" t="s">
        <v>26</v>
      </c>
      <c r="F18" s="21" t="s">
        <v>27</v>
      </c>
      <c r="G18" s="21" t="s">
        <v>27</v>
      </c>
      <c r="H18" s="21" t="s">
        <v>27</v>
      </c>
      <c r="I18" s="21" t="s">
        <v>27</v>
      </c>
      <c r="J18" s="9" t="s">
        <v>7</v>
      </c>
      <c r="K18" s="9">
        <v>43830</v>
      </c>
      <c r="N18" s="8">
        <v>2023</v>
      </c>
      <c r="O18" s="9">
        <v>1197797</v>
      </c>
      <c r="P18" s="9">
        <v>1584061</v>
      </c>
      <c r="Q18" s="9">
        <v>2781858</v>
      </c>
    </row>
    <row r="19" spans="1:17" x14ac:dyDescent="0.35">
      <c r="A19" s="21">
        <v>2014</v>
      </c>
      <c r="B19" s="21">
        <v>90199</v>
      </c>
      <c r="C19" s="9" t="s">
        <v>22</v>
      </c>
      <c r="D19" s="9" t="s">
        <v>25</v>
      </c>
      <c r="E19" s="9" t="s">
        <v>26</v>
      </c>
      <c r="F19" s="21" t="s">
        <v>27</v>
      </c>
      <c r="G19" s="21" t="s">
        <v>27</v>
      </c>
      <c r="H19" s="21" t="s">
        <v>27</v>
      </c>
      <c r="I19" s="21" t="s">
        <v>27</v>
      </c>
      <c r="J19" s="9" t="s">
        <v>8</v>
      </c>
      <c r="K19" s="9">
        <v>182701</v>
      </c>
      <c r="N19" s="8">
        <v>2024</v>
      </c>
      <c r="O19" s="9">
        <v>1351313</v>
      </c>
      <c r="P19" s="9">
        <v>1949330</v>
      </c>
      <c r="Q19" s="9">
        <v>3300643</v>
      </c>
    </row>
    <row r="20" spans="1:17" x14ac:dyDescent="0.35">
      <c r="A20" s="21">
        <v>2014</v>
      </c>
      <c r="B20" s="21">
        <v>90199</v>
      </c>
      <c r="C20" s="9" t="s">
        <v>22</v>
      </c>
      <c r="D20" s="9" t="s">
        <v>25</v>
      </c>
      <c r="E20" s="9" t="s">
        <v>26</v>
      </c>
      <c r="F20" s="21" t="s">
        <v>27</v>
      </c>
      <c r="G20" s="21" t="s">
        <v>27</v>
      </c>
      <c r="H20" s="21" t="s">
        <v>27</v>
      </c>
      <c r="I20" s="21" t="s">
        <v>27</v>
      </c>
      <c r="J20" s="9" t="s">
        <v>9</v>
      </c>
      <c r="K20" s="9">
        <v>11536</v>
      </c>
      <c r="N20" s="8" t="s">
        <v>29</v>
      </c>
      <c r="O20" s="9">
        <v>11373344</v>
      </c>
      <c r="P20" s="9">
        <v>13405654</v>
      </c>
      <c r="Q20" s="9">
        <v>24778998</v>
      </c>
    </row>
    <row r="21" spans="1:17" x14ac:dyDescent="0.35">
      <c r="A21" s="21">
        <v>2014</v>
      </c>
      <c r="B21" s="21">
        <v>90199</v>
      </c>
      <c r="C21" s="9" t="s">
        <v>22</v>
      </c>
      <c r="D21" s="9" t="s">
        <v>25</v>
      </c>
      <c r="E21" s="9" t="s">
        <v>26</v>
      </c>
      <c r="F21" s="21" t="s">
        <v>27</v>
      </c>
      <c r="G21" s="21" t="s">
        <v>27</v>
      </c>
      <c r="H21" s="21" t="s">
        <v>27</v>
      </c>
      <c r="I21" s="21" t="s">
        <v>27</v>
      </c>
      <c r="J21" s="9" t="s">
        <v>10</v>
      </c>
      <c r="K21" s="9">
        <v>36662</v>
      </c>
    </row>
    <row r="22" spans="1:17" ht="20" thickBot="1" x14ac:dyDescent="0.5">
      <c r="A22" s="21">
        <v>2014</v>
      </c>
      <c r="B22" s="21">
        <v>90199</v>
      </c>
      <c r="C22" s="9" t="s">
        <v>22</v>
      </c>
      <c r="D22" s="9" t="s">
        <v>25</v>
      </c>
      <c r="E22" s="9" t="s">
        <v>26</v>
      </c>
      <c r="F22" s="21" t="s">
        <v>27</v>
      </c>
      <c r="G22" s="21" t="s">
        <v>27</v>
      </c>
      <c r="H22" s="21" t="s">
        <v>27</v>
      </c>
      <c r="I22" s="21" t="s">
        <v>27</v>
      </c>
      <c r="J22" s="9" t="s">
        <v>11</v>
      </c>
      <c r="K22" s="9">
        <v>7</v>
      </c>
      <c r="N22" s="14" t="s">
        <v>42</v>
      </c>
      <c r="O22" s="14"/>
    </row>
    <row r="23" spans="1:17" ht="15" thickTop="1" x14ac:dyDescent="0.35">
      <c r="A23" s="21">
        <v>2014</v>
      </c>
      <c r="B23" s="21">
        <v>90199</v>
      </c>
      <c r="C23" s="9" t="s">
        <v>22</v>
      </c>
      <c r="D23" s="9" t="s">
        <v>25</v>
      </c>
      <c r="E23" s="9" t="s">
        <v>26</v>
      </c>
      <c r="F23" s="21" t="s">
        <v>27</v>
      </c>
      <c r="G23" s="21" t="s">
        <v>27</v>
      </c>
      <c r="H23" s="21" t="s">
        <v>27</v>
      </c>
      <c r="I23" s="21" t="s">
        <v>27</v>
      </c>
      <c r="J23" s="9" t="s">
        <v>12</v>
      </c>
      <c r="K23" s="9">
        <v>21.63</v>
      </c>
      <c r="N23" s="7" t="s">
        <v>33</v>
      </c>
      <c r="O23" s="21" t="s">
        <v>17</v>
      </c>
    </row>
    <row r="24" spans="1:17" x14ac:dyDescent="0.35">
      <c r="A24" s="21">
        <v>2014</v>
      </c>
      <c r="B24" s="21">
        <v>90199</v>
      </c>
      <c r="C24" s="9" t="s">
        <v>22</v>
      </c>
      <c r="D24" s="9" t="s">
        <v>25</v>
      </c>
      <c r="E24" s="9" t="s">
        <v>26</v>
      </c>
      <c r="F24" s="21" t="s">
        <v>27</v>
      </c>
      <c r="G24" s="21" t="s">
        <v>27</v>
      </c>
      <c r="H24" s="21" t="s">
        <v>27</v>
      </c>
      <c r="I24" s="21" t="s">
        <v>27</v>
      </c>
      <c r="J24" s="9" t="s">
        <v>13</v>
      </c>
      <c r="K24" s="9">
        <v>4.3411</v>
      </c>
    </row>
    <row r="25" spans="1:17" x14ac:dyDescent="0.35">
      <c r="A25" s="21">
        <v>2014</v>
      </c>
      <c r="B25" s="21">
        <v>90199</v>
      </c>
      <c r="C25" s="9" t="s">
        <v>22</v>
      </c>
      <c r="D25" s="9" t="s">
        <v>25</v>
      </c>
      <c r="E25" s="9" t="s">
        <v>26</v>
      </c>
      <c r="F25" s="21" t="s">
        <v>27</v>
      </c>
      <c r="G25" s="21" t="s">
        <v>27</v>
      </c>
      <c r="H25" s="21" t="s">
        <v>27</v>
      </c>
      <c r="I25" s="21" t="s">
        <v>27</v>
      </c>
      <c r="J25" s="9" t="s">
        <v>14</v>
      </c>
      <c r="K25" s="9">
        <v>68.75</v>
      </c>
      <c r="N25" s="7" t="s">
        <v>32</v>
      </c>
      <c r="O25" s="7" t="s">
        <v>30</v>
      </c>
    </row>
    <row r="26" spans="1:17" x14ac:dyDescent="0.35">
      <c r="A26" s="21">
        <v>2014</v>
      </c>
      <c r="B26" s="21">
        <v>90199</v>
      </c>
      <c r="C26" s="9" t="s">
        <v>22</v>
      </c>
      <c r="D26" s="9" t="s">
        <v>25</v>
      </c>
      <c r="E26" s="9" t="s">
        <v>26</v>
      </c>
      <c r="F26" s="21" t="s">
        <v>27</v>
      </c>
      <c r="G26" s="21" t="s">
        <v>27</v>
      </c>
      <c r="H26" s="21" t="s">
        <v>27</v>
      </c>
      <c r="I26" s="21" t="s">
        <v>27</v>
      </c>
      <c r="J26" s="9" t="s">
        <v>45</v>
      </c>
      <c r="K26" s="9">
        <v>3.1780513176144245</v>
      </c>
      <c r="N26" s="7" t="s">
        <v>28</v>
      </c>
      <c r="O26" s="18" t="s">
        <v>25</v>
      </c>
      <c r="P26" s="18" t="s">
        <v>23</v>
      </c>
      <c r="Q26" s="21" t="s">
        <v>29</v>
      </c>
    </row>
    <row r="27" spans="1:17" x14ac:dyDescent="0.35">
      <c r="A27" s="21">
        <v>2014</v>
      </c>
      <c r="B27" s="21">
        <v>90199</v>
      </c>
      <c r="C27" s="9" t="s">
        <v>22</v>
      </c>
      <c r="D27" s="9" t="s">
        <v>25</v>
      </c>
      <c r="E27" s="9" t="s">
        <v>26</v>
      </c>
      <c r="F27" s="21" t="s">
        <v>27</v>
      </c>
      <c r="G27" s="21" t="s">
        <v>27</v>
      </c>
      <c r="H27" s="21" t="s">
        <v>27</v>
      </c>
      <c r="I27" s="21" t="s">
        <v>27</v>
      </c>
      <c r="J27" s="9" t="s">
        <v>15</v>
      </c>
      <c r="K27" s="9">
        <v>0.20069999999999999</v>
      </c>
      <c r="N27" s="8">
        <v>2014</v>
      </c>
      <c r="O27" s="9">
        <v>3.2</v>
      </c>
      <c r="P27" s="9">
        <v>5.3</v>
      </c>
      <c r="Q27" s="9">
        <v>8.5</v>
      </c>
    </row>
    <row r="28" spans="1:17" x14ac:dyDescent="0.35">
      <c r="A28" s="21">
        <v>2014</v>
      </c>
      <c r="B28" s="21">
        <v>90199</v>
      </c>
      <c r="C28" s="9" t="s">
        <v>22</v>
      </c>
      <c r="D28" s="9" t="s">
        <v>25</v>
      </c>
      <c r="E28" s="9" t="s">
        <v>26</v>
      </c>
      <c r="F28" s="21" t="s">
        <v>27</v>
      </c>
      <c r="G28" s="21" t="s">
        <v>27</v>
      </c>
      <c r="H28" s="21" t="s">
        <v>27</v>
      </c>
      <c r="I28" s="21" t="s">
        <v>27</v>
      </c>
      <c r="J28" s="9" t="s">
        <v>16</v>
      </c>
      <c r="K28" s="9">
        <v>5.5262759733709907E-2</v>
      </c>
      <c r="N28" s="8">
        <v>2015</v>
      </c>
      <c r="O28" s="9">
        <v>4.4000000000000004</v>
      </c>
      <c r="P28" s="9">
        <v>5.5</v>
      </c>
      <c r="Q28" s="9">
        <v>9.9</v>
      </c>
    </row>
    <row r="29" spans="1:17" x14ac:dyDescent="0.35">
      <c r="A29" s="21">
        <v>2014</v>
      </c>
      <c r="B29" s="21">
        <v>90199</v>
      </c>
      <c r="C29" s="9" t="s">
        <v>22</v>
      </c>
      <c r="D29" s="9" t="s">
        <v>25</v>
      </c>
      <c r="E29" s="9" t="s">
        <v>26</v>
      </c>
      <c r="F29" s="21" t="s">
        <v>27</v>
      </c>
      <c r="G29" s="21" t="s">
        <v>27</v>
      </c>
      <c r="H29" s="21" t="s">
        <v>27</v>
      </c>
      <c r="I29" s="21" t="s">
        <v>27</v>
      </c>
      <c r="J29" s="9" t="s">
        <v>17</v>
      </c>
      <c r="K29" s="9">
        <v>3.2</v>
      </c>
      <c r="N29" s="8">
        <v>2016</v>
      </c>
      <c r="O29" s="9">
        <v>4.4000000000000004</v>
      </c>
      <c r="P29" s="9">
        <v>7.1</v>
      </c>
      <c r="Q29" s="9">
        <v>11.5</v>
      </c>
    </row>
    <row r="30" spans="1:17" x14ac:dyDescent="0.35">
      <c r="A30" s="21">
        <v>2015</v>
      </c>
      <c r="B30" s="21">
        <v>90199</v>
      </c>
      <c r="C30" s="9" t="s">
        <v>22</v>
      </c>
      <c r="D30" s="9" t="s">
        <v>23</v>
      </c>
      <c r="E30" s="9" t="s">
        <v>24</v>
      </c>
      <c r="F30" s="21">
        <v>149222</v>
      </c>
      <c r="G30" s="21">
        <v>888435</v>
      </c>
      <c r="H30" s="21">
        <v>426076</v>
      </c>
      <c r="I30" s="21">
        <v>0</v>
      </c>
      <c r="J30" s="9" t="s">
        <v>5</v>
      </c>
      <c r="K30" s="9">
        <v>62514</v>
      </c>
      <c r="N30" s="8">
        <v>2017</v>
      </c>
      <c r="O30" s="9">
        <v>5.4</v>
      </c>
      <c r="P30" s="9">
        <v>8.1</v>
      </c>
      <c r="Q30" s="9">
        <v>13.5</v>
      </c>
    </row>
    <row r="31" spans="1:17" x14ac:dyDescent="0.35">
      <c r="A31" s="21">
        <v>2015</v>
      </c>
      <c r="B31" s="21">
        <v>90199</v>
      </c>
      <c r="C31" s="9" t="s">
        <v>22</v>
      </c>
      <c r="D31" s="9" t="s">
        <v>23</v>
      </c>
      <c r="E31" s="9" t="s">
        <v>24</v>
      </c>
      <c r="F31" s="21">
        <v>149222</v>
      </c>
      <c r="G31" s="21">
        <v>888435</v>
      </c>
      <c r="H31" s="21">
        <v>426076</v>
      </c>
      <c r="I31" s="21">
        <v>0</v>
      </c>
      <c r="J31" s="9" t="s">
        <v>6</v>
      </c>
      <c r="K31" s="9">
        <v>712624</v>
      </c>
      <c r="N31" s="8">
        <v>2018</v>
      </c>
      <c r="O31" s="9">
        <v>6.4</v>
      </c>
      <c r="P31" s="9">
        <v>9.1</v>
      </c>
      <c r="Q31" s="9">
        <v>15.5</v>
      </c>
    </row>
    <row r="32" spans="1:17" x14ac:dyDescent="0.35">
      <c r="A32" s="21">
        <v>2015</v>
      </c>
      <c r="B32" s="21">
        <v>90199</v>
      </c>
      <c r="C32" s="9" t="s">
        <v>22</v>
      </c>
      <c r="D32" s="9" t="s">
        <v>23</v>
      </c>
      <c r="E32" s="9" t="s">
        <v>24</v>
      </c>
      <c r="F32" s="21">
        <v>149222</v>
      </c>
      <c r="G32" s="21">
        <v>888435</v>
      </c>
      <c r="H32" s="21">
        <v>426076</v>
      </c>
      <c r="I32" s="21">
        <v>0</v>
      </c>
      <c r="J32" s="9" t="s">
        <v>7</v>
      </c>
      <c r="K32" s="9">
        <v>91262</v>
      </c>
      <c r="N32" s="8">
        <v>2019</v>
      </c>
      <c r="O32" s="9">
        <v>7.4</v>
      </c>
      <c r="P32" s="9">
        <v>10.1</v>
      </c>
      <c r="Q32" s="9">
        <v>17.5</v>
      </c>
    </row>
    <row r="33" spans="1:17" x14ac:dyDescent="0.35">
      <c r="A33" s="21">
        <v>2015</v>
      </c>
      <c r="B33" s="21">
        <v>90199</v>
      </c>
      <c r="C33" s="9" t="s">
        <v>22</v>
      </c>
      <c r="D33" s="9" t="s">
        <v>23</v>
      </c>
      <c r="E33" s="9" t="s">
        <v>24</v>
      </c>
      <c r="F33" s="21">
        <v>149222</v>
      </c>
      <c r="G33" s="21">
        <v>888435</v>
      </c>
      <c r="H33" s="21">
        <v>426076</v>
      </c>
      <c r="I33" s="21">
        <v>0</v>
      </c>
      <c r="J33" s="9" t="s">
        <v>8</v>
      </c>
      <c r="K33" s="9">
        <v>163507</v>
      </c>
      <c r="N33" s="8">
        <v>2020</v>
      </c>
      <c r="O33" s="9">
        <v>7.3</v>
      </c>
      <c r="P33" s="9">
        <v>6.3</v>
      </c>
      <c r="Q33" s="9">
        <v>13.6</v>
      </c>
    </row>
    <row r="34" spans="1:17" x14ac:dyDescent="0.35">
      <c r="A34" s="21">
        <v>2015</v>
      </c>
      <c r="B34" s="21">
        <v>90199</v>
      </c>
      <c r="C34" s="9" t="s">
        <v>22</v>
      </c>
      <c r="D34" s="9" t="s">
        <v>23</v>
      </c>
      <c r="E34" s="9" t="s">
        <v>24</v>
      </c>
      <c r="F34" s="21">
        <v>149222</v>
      </c>
      <c r="G34" s="21">
        <v>888435</v>
      </c>
      <c r="H34" s="21">
        <v>426076</v>
      </c>
      <c r="I34" s="21">
        <v>0</v>
      </c>
      <c r="J34" s="9" t="s">
        <v>9</v>
      </c>
      <c r="K34" s="9">
        <v>12575</v>
      </c>
      <c r="N34" s="8">
        <v>2021</v>
      </c>
      <c r="O34" s="9">
        <v>7.5</v>
      </c>
      <c r="P34" s="9">
        <v>4.5</v>
      </c>
      <c r="Q34" s="9">
        <v>12</v>
      </c>
    </row>
    <row r="35" spans="1:17" x14ac:dyDescent="0.35">
      <c r="A35" s="21">
        <v>2015</v>
      </c>
      <c r="B35" s="21">
        <v>90199</v>
      </c>
      <c r="C35" s="9" t="s">
        <v>22</v>
      </c>
      <c r="D35" s="9" t="s">
        <v>23</v>
      </c>
      <c r="E35" s="9" t="s">
        <v>24</v>
      </c>
      <c r="F35" s="21">
        <v>149222</v>
      </c>
      <c r="G35" s="21">
        <v>888435</v>
      </c>
      <c r="H35" s="21">
        <v>426076</v>
      </c>
      <c r="I35" s="21">
        <v>0</v>
      </c>
      <c r="J35" s="9" t="s">
        <v>10</v>
      </c>
      <c r="K35" s="9">
        <v>131493</v>
      </c>
      <c r="N35" s="8">
        <v>2022</v>
      </c>
      <c r="O35" s="9">
        <v>8.5</v>
      </c>
      <c r="P35" s="9">
        <v>5.5</v>
      </c>
      <c r="Q35" s="9">
        <v>14</v>
      </c>
    </row>
    <row r="36" spans="1:17" x14ac:dyDescent="0.35">
      <c r="A36" s="21">
        <v>2015</v>
      </c>
      <c r="B36" s="21">
        <v>90199</v>
      </c>
      <c r="C36" s="9" t="s">
        <v>22</v>
      </c>
      <c r="D36" s="9" t="s">
        <v>23</v>
      </c>
      <c r="E36" s="9" t="s">
        <v>24</v>
      </c>
      <c r="F36" s="21">
        <v>149222</v>
      </c>
      <c r="G36" s="21">
        <v>888435</v>
      </c>
      <c r="H36" s="21">
        <v>426076</v>
      </c>
      <c r="I36" s="21">
        <v>0</v>
      </c>
      <c r="J36" s="9" t="s">
        <v>11</v>
      </c>
      <c r="K36" s="9">
        <v>6</v>
      </c>
      <c r="N36" s="8">
        <v>2023</v>
      </c>
      <c r="O36" s="9">
        <v>9.5</v>
      </c>
      <c r="P36" s="9">
        <v>5.4</v>
      </c>
      <c r="Q36" s="9">
        <v>14.9</v>
      </c>
    </row>
    <row r="37" spans="1:17" x14ac:dyDescent="0.35">
      <c r="A37" s="21">
        <v>2015</v>
      </c>
      <c r="B37" s="21">
        <v>90199</v>
      </c>
      <c r="C37" s="9" t="s">
        <v>22</v>
      </c>
      <c r="D37" s="9" t="s">
        <v>23</v>
      </c>
      <c r="E37" s="9" t="s">
        <v>24</v>
      </c>
      <c r="F37" s="21">
        <v>149222</v>
      </c>
      <c r="G37" s="21">
        <v>888435</v>
      </c>
      <c r="H37" s="21">
        <v>426076</v>
      </c>
      <c r="I37" s="21">
        <v>0</v>
      </c>
      <c r="J37" s="9" t="s">
        <v>12</v>
      </c>
      <c r="K37" s="9">
        <v>5.42</v>
      </c>
      <c r="N37" s="8">
        <v>2024</v>
      </c>
      <c r="O37" s="9">
        <v>7.1</v>
      </c>
      <c r="P37" s="9">
        <v>5.2</v>
      </c>
      <c r="Q37" s="9">
        <v>12.3</v>
      </c>
    </row>
    <row r="38" spans="1:17" x14ac:dyDescent="0.35">
      <c r="A38" s="21">
        <v>2015</v>
      </c>
      <c r="B38" s="21">
        <v>90199</v>
      </c>
      <c r="C38" s="9" t="s">
        <v>22</v>
      </c>
      <c r="D38" s="9" t="s">
        <v>23</v>
      </c>
      <c r="E38" s="9" t="s">
        <v>24</v>
      </c>
      <c r="F38" s="21">
        <v>149222</v>
      </c>
      <c r="G38" s="21">
        <v>888435</v>
      </c>
      <c r="H38" s="21">
        <v>426076</v>
      </c>
      <c r="I38" s="21">
        <v>0</v>
      </c>
      <c r="J38" s="9" t="s">
        <v>13</v>
      </c>
      <c r="K38" s="9">
        <v>4.3583999999999996</v>
      </c>
      <c r="N38" s="8" t="s">
        <v>29</v>
      </c>
      <c r="O38" s="9">
        <v>71.099999999999994</v>
      </c>
      <c r="P38" s="9">
        <v>72.100000000000009</v>
      </c>
      <c r="Q38" s="9">
        <v>143.20000000000002</v>
      </c>
    </row>
    <row r="39" spans="1:17" x14ac:dyDescent="0.35">
      <c r="A39" s="21">
        <v>2015</v>
      </c>
      <c r="B39" s="21">
        <v>90199</v>
      </c>
      <c r="C39" s="9" t="s">
        <v>22</v>
      </c>
      <c r="D39" s="9" t="s">
        <v>23</v>
      </c>
      <c r="E39" s="9" t="s">
        <v>24</v>
      </c>
      <c r="F39" s="21">
        <v>149222</v>
      </c>
      <c r="G39" s="21">
        <v>888435</v>
      </c>
      <c r="H39" s="21">
        <v>426076</v>
      </c>
      <c r="I39" s="21">
        <v>0</v>
      </c>
      <c r="J39" s="9" t="s">
        <v>14</v>
      </c>
      <c r="K39" s="9">
        <v>56.67</v>
      </c>
    </row>
    <row r="40" spans="1:17" x14ac:dyDescent="0.35">
      <c r="A40" s="21">
        <v>2015</v>
      </c>
      <c r="B40" s="21">
        <v>90199</v>
      </c>
      <c r="C40" s="9" t="s">
        <v>22</v>
      </c>
      <c r="D40" s="9" t="s">
        <v>23</v>
      </c>
      <c r="E40" s="9" t="s">
        <v>24</v>
      </c>
      <c r="F40" s="21">
        <v>149222</v>
      </c>
      <c r="G40" s="21">
        <v>888435</v>
      </c>
      <c r="H40" s="21">
        <v>426076</v>
      </c>
      <c r="I40" s="21">
        <v>0</v>
      </c>
      <c r="J40" s="9" t="s">
        <v>45</v>
      </c>
      <c r="K40" s="9">
        <v>10.456699801192842</v>
      </c>
    </row>
    <row r="41" spans="1:17" x14ac:dyDescent="0.35">
      <c r="A41" s="21">
        <v>2015</v>
      </c>
      <c r="B41" s="21">
        <v>90199</v>
      </c>
      <c r="C41" s="9" t="s">
        <v>22</v>
      </c>
      <c r="D41" s="9" t="s">
        <v>23</v>
      </c>
      <c r="E41" s="9" t="s">
        <v>24</v>
      </c>
      <c r="F41" s="21">
        <v>149222</v>
      </c>
      <c r="G41" s="21">
        <v>888435</v>
      </c>
      <c r="H41" s="21">
        <v>426076</v>
      </c>
      <c r="I41" s="21">
        <v>0</v>
      </c>
      <c r="J41" s="9" t="s">
        <v>15</v>
      </c>
      <c r="K41" s="9">
        <v>0.80420000000000003</v>
      </c>
    </row>
    <row r="42" spans="1:17" x14ac:dyDescent="0.35">
      <c r="A42" s="21">
        <v>2015</v>
      </c>
      <c r="B42" s="21">
        <v>90199</v>
      </c>
      <c r="C42" s="9" t="s">
        <v>22</v>
      </c>
      <c r="D42" s="9" t="s">
        <v>23</v>
      </c>
      <c r="E42" s="9" t="s">
        <v>24</v>
      </c>
      <c r="F42" s="21">
        <v>149222</v>
      </c>
      <c r="G42" s="21">
        <v>888435</v>
      </c>
      <c r="H42" s="21">
        <v>426076</v>
      </c>
      <c r="I42" s="21">
        <v>0</v>
      </c>
      <c r="J42" s="9" t="s">
        <v>16</v>
      </c>
      <c r="K42" s="9">
        <v>0.12806472978737735</v>
      </c>
    </row>
    <row r="43" spans="1:17" x14ac:dyDescent="0.35">
      <c r="A43" s="21">
        <v>2015</v>
      </c>
      <c r="B43" s="21">
        <v>90199</v>
      </c>
      <c r="C43" s="9" t="s">
        <v>22</v>
      </c>
      <c r="D43" s="9" t="s">
        <v>23</v>
      </c>
      <c r="E43" s="9" t="s">
        <v>24</v>
      </c>
      <c r="F43" s="21">
        <v>149222</v>
      </c>
      <c r="G43" s="21">
        <v>888435</v>
      </c>
      <c r="H43" s="21">
        <v>426076</v>
      </c>
      <c r="I43" s="21">
        <v>0</v>
      </c>
      <c r="J43" s="9" t="s">
        <v>17</v>
      </c>
      <c r="K43" s="9">
        <v>5.5</v>
      </c>
    </row>
    <row r="44" spans="1:17" x14ac:dyDescent="0.35">
      <c r="A44" s="21">
        <v>2015</v>
      </c>
      <c r="B44" s="21">
        <v>90199</v>
      </c>
      <c r="C44" s="9" t="s">
        <v>22</v>
      </c>
      <c r="D44" s="9" t="s">
        <v>25</v>
      </c>
      <c r="E44" s="9" t="s">
        <v>26</v>
      </c>
      <c r="F44" s="21">
        <v>149222</v>
      </c>
      <c r="G44" s="21">
        <v>888435</v>
      </c>
      <c r="H44" s="21">
        <v>426076</v>
      </c>
      <c r="I44" s="21">
        <v>0</v>
      </c>
      <c r="J44" s="9" t="s">
        <v>5</v>
      </c>
      <c r="K44" s="9">
        <v>62514</v>
      </c>
    </row>
    <row r="45" spans="1:17" x14ac:dyDescent="0.35">
      <c r="A45" s="21">
        <v>2015</v>
      </c>
      <c r="B45" s="21">
        <v>90199</v>
      </c>
      <c r="C45" s="9" t="s">
        <v>22</v>
      </c>
      <c r="D45" s="9" t="s">
        <v>25</v>
      </c>
      <c r="E45" s="9" t="s">
        <v>26</v>
      </c>
      <c r="F45" s="21">
        <v>149222</v>
      </c>
      <c r="G45" s="21">
        <v>888435</v>
      </c>
      <c r="H45" s="21">
        <v>426076</v>
      </c>
      <c r="I45" s="21">
        <v>0</v>
      </c>
      <c r="J45" s="9" t="s">
        <v>6</v>
      </c>
      <c r="K45" s="9">
        <v>751109</v>
      </c>
    </row>
    <row r="46" spans="1:17" x14ac:dyDescent="0.35">
      <c r="A46" s="21">
        <v>2015</v>
      </c>
      <c r="B46" s="21">
        <v>90199</v>
      </c>
      <c r="C46" s="9" t="s">
        <v>22</v>
      </c>
      <c r="D46" s="9" t="s">
        <v>25</v>
      </c>
      <c r="E46" s="9" t="s">
        <v>26</v>
      </c>
      <c r="F46" s="21">
        <v>149222</v>
      </c>
      <c r="G46" s="21">
        <v>888435</v>
      </c>
      <c r="H46" s="21">
        <v>426076</v>
      </c>
      <c r="I46" s="21">
        <v>0</v>
      </c>
      <c r="J46" s="9" t="s">
        <v>7</v>
      </c>
      <c r="K46" s="9">
        <v>30432</v>
      </c>
    </row>
    <row r="47" spans="1:17" x14ac:dyDescent="0.35">
      <c r="A47" s="21">
        <v>2015</v>
      </c>
      <c r="B47" s="21">
        <v>90199</v>
      </c>
      <c r="C47" s="9" t="s">
        <v>22</v>
      </c>
      <c r="D47" s="9" t="s">
        <v>25</v>
      </c>
      <c r="E47" s="9" t="s">
        <v>26</v>
      </c>
      <c r="F47" s="21">
        <v>149222</v>
      </c>
      <c r="G47" s="21">
        <v>888435</v>
      </c>
      <c r="H47" s="21">
        <v>426076</v>
      </c>
      <c r="I47" s="21">
        <v>0</v>
      </c>
      <c r="J47" s="9" t="s">
        <v>8</v>
      </c>
      <c r="K47" s="9">
        <v>186796</v>
      </c>
    </row>
    <row r="48" spans="1:17" x14ac:dyDescent="0.35">
      <c r="A48" s="21">
        <v>2015</v>
      </c>
      <c r="B48" s="21">
        <v>90199</v>
      </c>
      <c r="C48" s="9" t="s">
        <v>22</v>
      </c>
      <c r="D48" s="9" t="s">
        <v>25</v>
      </c>
      <c r="E48" s="9" t="s">
        <v>26</v>
      </c>
      <c r="F48" s="21">
        <v>149222</v>
      </c>
      <c r="G48" s="21">
        <v>888435</v>
      </c>
      <c r="H48" s="21">
        <v>426076</v>
      </c>
      <c r="I48" s="21">
        <v>0</v>
      </c>
      <c r="J48" s="9" t="s">
        <v>9</v>
      </c>
      <c r="K48" s="9">
        <v>12020</v>
      </c>
    </row>
    <row r="49" spans="1:11" x14ac:dyDescent="0.35">
      <c r="A49" s="21">
        <v>2015</v>
      </c>
      <c r="B49" s="21">
        <v>90199</v>
      </c>
      <c r="C49" s="9" t="s">
        <v>22</v>
      </c>
      <c r="D49" s="9" t="s">
        <v>25</v>
      </c>
      <c r="E49" s="9" t="s">
        <v>26</v>
      </c>
      <c r="F49" s="21">
        <v>149222</v>
      </c>
      <c r="G49" s="21">
        <v>888435</v>
      </c>
      <c r="H49" s="21">
        <v>426076</v>
      </c>
      <c r="I49" s="21">
        <v>0</v>
      </c>
      <c r="J49" s="9" t="s">
        <v>10</v>
      </c>
      <c r="K49" s="9">
        <v>40505</v>
      </c>
    </row>
    <row r="50" spans="1:11" x14ac:dyDescent="0.35">
      <c r="A50" s="21">
        <v>2015</v>
      </c>
      <c r="B50" s="21">
        <v>90199</v>
      </c>
      <c r="C50" s="9" t="s">
        <v>22</v>
      </c>
      <c r="D50" s="9" t="s">
        <v>25</v>
      </c>
      <c r="E50" s="9" t="s">
        <v>26</v>
      </c>
      <c r="F50" s="21">
        <v>149222</v>
      </c>
      <c r="G50" s="21">
        <v>888435</v>
      </c>
      <c r="H50" s="21">
        <v>426076</v>
      </c>
      <c r="I50" s="21">
        <v>0</v>
      </c>
      <c r="J50" s="9" t="s">
        <v>11</v>
      </c>
      <c r="K50" s="9">
        <v>7</v>
      </c>
    </row>
    <row r="51" spans="1:11" x14ac:dyDescent="0.35">
      <c r="A51" s="21">
        <v>2015</v>
      </c>
      <c r="B51" s="21">
        <v>90199</v>
      </c>
      <c r="C51" s="9" t="s">
        <v>22</v>
      </c>
      <c r="D51" s="9" t="s">
        <v>25</v>
      </c>
      <c r="E51" s="9" t="s">
        <v>26</v>
      </c>
      <c r="F51" s="21">
        <v>149222</v>
      </c>
      <c r="G51" s="21">
        <v>888435</v>
      </c>
      <c r="H51" s="21">
        <v>426076</v>
      </c>
      <c r="I51" s="21">
        <v>0</v>
      </c>
      <c r="J51" s="9" t="s">
        <v>12</v>
      </c>
      <c r="K51" s="9">
        <v>18.54</v>
      </c>
    </row>
    <row r="52" spans="1:11" x14ac:dyDescent="0.35">
      <c r="A52" s="21">
        <v>2015</v>
      </c>
      <c r="B52" s="21">
        <v>90199</v>
      </c>
      <c r="C52" s="9" t="s">
        <v>22</v>
      </c>
      <c r="D52" s="9" t="s">
        <v>25</v>
      </c>
      <c r="E52" s="9" t="s">
        <v>26</v>
      </c>
      <c r="F52" s="21">
        <v>149222</v>
      </c>
      <c r="G52" s="21">
        <v>888435</v>
      </c>
      <c r="H52" s="21">
        <v>426076</v>
      </c>
      <c r="I52" s="21">
        <v>0</v>
      </c>
      <c r="J52" s="9" t="s">
        <v>13</v>
      </c>
      <c r="K52" s="9">
        <v>4.0209999999999999</v>
      </c>
    </row>
    <row r="53" spans="1:11" x14ac:dyDescent="0.35">
      <c r="A53" s="21">
        <v>2015</v>
      </c>
      <c r="B53" s="21">
        <v>90199</v>
      </c>
      <c r="C53" s="9" t="s">
        <v>22</v>
      </c>
      <c r="D53" s="9" t="s">
        <v>25</v>
      </c>
      <c r="E53" s="9" t="s">
        <v>26</v>
      </c>
      <c r="F53" s="21">
        <v>149222</v>
      </c>
      <c r="G53" s="21">
        <v>888435</v>
      </c>
      <c r="H53" s="21">
        <v>426076</v>
      </c>
      <c r="I53" s="21">
        <v>0</v>
      </c>
      <c r="J53" s="9" t="s">
        <v>14</v>
      </c>
      <c r="K53" s="9">
        <v>62.49</v>
      </c>
    </row>
    <row r="54" spans="1:11" x14ac:dyDescent="0.35">
      <c r="A54" s="21">
        <v>2015</v>
      </c>
      <c r="B54" s="21">
        <v>90199</v>
      </c>
      <c r="C54" s="9" t="s">
        <v>22</v>
      </c>
      <c r="D54" s="9" t="s">
        <v>25</v>
      </c>
      <c r="E54" s="9" t="s">
        <v>26</v>
      </c>
      <c r="F54" s="21">
        <v>149222</v>
      </c>
      <c r="G54" s="21">
        <v>888435</v>
      </c>
      <c r="H54" s="21">
        <v>426076</v>
      </c>
      <c r="I54" s="21">
        <v>0</v>
      </c>
      <c r="J54" s="9" t="s">
        <v>45</v>
      </c>
      <c r="K54" s="9">
        <v>3.3698003327787021</v>
      </c>
    </row>
    <row r="55" spans="1:11" x14ac:dyDescent="0.35">
      <c r="A55" s="21">
        <v>2015</v>
      </c>
      <c r="B55" s="21">
        <v>90199</v>
      </c>
      <c r="C55" s="9" t="s">
        <v>22</v>
      </c>
      <c r="D55" s="9" t="s">
        <v>25</v>
      </c>
      <c r="E55" s="9" t="s">
        <v>26</v>
      </c>
      <c r="F55" s="21">
        <v>149222</v>
      </c>
      <c r="G55" s="21">
        <v>888435</v>
      </c>
      <c r="H55" s="21">
        <v>426076</v>
      </c>
      <c r="I55" s="21">
        <v>0</v>
      </c>
      <c r="J55" s="9" t="s">
        <v>15</v>
      </c>
      <c r="K55" s="9">
        <v>0.21679999999999999</v>
      </c>
    </row>
    <row r="56" spans="1:11" x14ac:dyDescent="0.35">
      <c r="A56" s="21">
        <v>2015</v>
      </c>
      <c r="B56" s="21">
        <v>90199</v>
      </c>
      <c r="C56" s="9" t="s">
        <v>22</v>
      </c>
      <c r="D56" s="9" t="s">
        <v>25</v>
      </c>
      <c r="E56" s="9" t="s">
        <v>26</v>
      </c>
      <c r="F56" s="21">
        <v>149222</v>
      </c>
      <c r="G56" s="21">
        <v>888435</v>
      </c>
      <c r="H56" s="21">
        <v>426076</v>
      </c>
      <c r="I56" s="21">
        <v>0</v>
      </c>
      <c r="J56" s="9" t="s">
        <v>16</v>
      </c>
      <c r="K56" s="9">
        <v>4.0516090207945853E-2</v>
      </c>
    </row>
    <row r="57" spans="1:11" x14ac:dyDescent="0.35">
      <c r="A57" s="21">
        <v>2015</v>
      </c>
      <c r="B57" s="21">
        <v>90199</v>
      </c>
      <c r="C57" s="9" t="s">
        <v>22</v>
      </c>
      <c r="D57" s="9" t="s">
        <v>25</v>
      </c>
      <c r="E57" s="9" t="s">
        <v>26</v>
      </c>
      <c r="F57" s="21">
        <v>149222</v>
      </c>
      <c r="G57" s="21">
        <v>888435</v>
      </c>
      <c r="H57" s="21">
        <v>426076</v>
      </c>
      <c r="I57" s="21">
        <v>0</v>
      </c>
      <c r="J57" s="9" t="s">
        <v>17</v>
      </c>
      <c r="K57" s="9">
        <v>4.4000000000000004</v>
      </c>
    </row>
    <row r="58" spans="1:11" x14ac:dyDescent="0.35">
      <c r="A58" s="21">
        <v>2016</v>
      </c>
      <c r="B58" s="21">
        <v>90199</v>
      </c>
      <c r="C58" s="9" t="s">
        <v>22</v>
      </c>
      <c r="D58" s="9" t="s">
        <v>23</v>
      </c>
      <c r="E58" s="9" t="s">
        <v>24</v>
      </c>
      <c r="F58" s="21">
        <v>403352</v>
      </c>
      <c r="G58" s="21">
        <v>731682</v>
      </c>
      <c r="H58" s="21">
        <v>613552</v>
      </c>
      <c r="I58" s="21">
        <v>0</v>
      </c>
      <c r="J58" s="9" t="s">
        <v>5</v>
      </c>
      <c r="K58" s="9">
        <v>64208</v>
      </c>
    </row>
    <row r="59" spans="1:11" x14ac:dyDescent="0.35">
      <c r="A59" s="21">
        <v>2016</v>
      </c>
      <c r="B59" s="21">
        <v>90199</v>
      </c>
      <c r="C59" s="9" t="s">
        <v>22</v>
      </c>
      <c r="D59" s="9" t="s">
        <v>23</v>
      </c>
      <c r="E59" s="9" t="s">
        <v>24</v>
      </c>
      <c r="F59" s="21">
        <v>403352</v>
      </c>
      <c r="G59" s="21">
        <v>731682</v>
      </c>
      <c r="H59" s="21">
        <v>613552</v>
      </c>
      <c r="I59" s="21">
        <v>0</v>
      </c>
      <c r="J59" s="9" t="s">
        <v>6</v>
      </c>
      <c r="K59" s="9">
        <v>846817</v>
      </c>
    </row>
    <row r="60" spans="1:11" x14ac:dyDescent="0.35">
      <c r="A60" s="21">
        <v>2016</v>
      </c>
      <c r="B60" s="21">
        <v>90199</v>
      </c>
      <c r="C60" s="9" t="s">
        <v>22</v>
      </c>
      <c r="D60" s="9" t="s">
        <v>23</v>
      </c>
      <c r="E60" s="9" t="s">
        <v>24</v>
      </c>
      <c r="F60" s="21">
        <v>403352</v>
      </c>
      <c r="G60" s="21">
        <v>731682</v>
      </c>
      <c r="H60" s="21">
        <v>613552</v>
      </c>
      <c r="I60" s="21">
        <v>0</v>
      </c>
      <c r="J60" s="9" t="s">
        <v>7</v>
      </c>
      <c r="K60" s="9">
        <v>89244</v>
      </c>
    </row>
    <row r="61" spans="1:11" x14ac:dyDescent="0.35">
      <c r="A61" s="21">
        <v>2016</v>
      </c>
      <c r="B61" s="21">
        <v>90199</v>
      </c>
      <c r="C61" s="9" t="s">
        <v>22</v>
      </c>
      <c r="D61" s="9" t="s">
        <v>23</v>
      </c>
      <c r="E61" s="9" t="s">
        <v>24</v>
      </c>
      <c r="F61" s="21">
        <v>403352</v>
      </c>
      <c r="G61" s="21">
        <v>731682</v>
      </c>
      <c r="H61" s="21">
        <v>613552</v>
      </c>
      <c r="I61" s="21">
        <v>0</v>
      </c>
      <c r="J61" s="9" t="s">
        <v>8</v>
      </c>
      <c r="K61" s="9">
        <v>171428</v>
      </c>
    </row>
    <row r="62" spans="1:11" x14ac:dyDescent="0.35">
      <c r="A62" s="21">
        <v>2016</v>
      </c>
      <c r="B62" s="21">
        <v>90199</v>
      </c>
      <c r="C62" s="9" t="s">
        <v>22</v>
      </c>
      <c r="D62" s="9" t="s">
        <v>23</v>
      </c>
      <c r="E62" s="9" t="s">
        <v>24</v>
      </c>
      <c r="F62" s="21">
        <v>403352</v>
      </c>
      <c r="G62" s="21">
        <v>731682</v>
      </c>
      <c r="H62" s="21">
        <v>613552</v>
      </c>
      <c r="I62" s="21">
        <v>0</v>
      </c>
      <c r="J62" s="9" t="s">
        <v>9</v>
      </c>
      <c r="K62" s="9">
        <v>12560</v>
      </c>
    </row>
    <row r="63" spans="1:11" x14ac:dyDescent="0.35">
      <c r="A63" s="21">
        <v>2016</v>
      </c>
      <c r="B63" s="21">
        <v>90199</v>
      </c>
      <c r="C63" s="9" t="s">
        <v>22</v>
      </c>
      <c r="D63" s="9" t="s">
        <v>23</v>
      </c>
      <c r="E63" s="9" t="s">
        <v>24</v>
      </c>
      <c r="F63" s="21">
        <v>403352</v>
      </c>
      <c r="G63" s="21">
        <v>731682</v>
      </c>
      <c r="H63" s="21">
        <v>613552</v>
      </c>
      <c r="I63" s="21">
        <v>0</v>
      </c>
      <c r="J63" s="9" t="s">
        <v>10</v>
      </c>
      <c r="K63" s="9">
        <v>108391</v>
      </c>
    </row>
    <row r="64" spans="1:11" x14ac:dyDescent="0.35">
      <c r="A64" s="21">
        <v>2016</v>
      </c>
      <c r="B64" s="21">
        <v>90199</v>
      </c>
      <c r="C64" s="9" t="s">
        <v>22</v>
      </c>
      <c r="D64" s="9" t="s">
        <v>23</v>
      </c>
      <c r="E64" s="9" t="s">
        <v>24</v>
      </c>
      <c r="F64" s="21">
        <v>403352</v>
      </c>
      <c r="G64" s="21">
        <v>731682</v>
      </c>
      <c r="H64" s="21">
        <v>613552</v>
      </c>
      <c r="I64" s="21">
        <v>0</v>
      </c>
      <c r="J64" s="9" t="s">
        <v>11</v>
      </c>
      <c r="K64" s="9">
        <v>7</v>
      </c>
    </row>
    <row r="65" spans="1:11" x14ac:dyDescent="0.35">
      <c r="A65" s="21">
        <v>2016</v>
      </c>
      <c r="B65" s="21">
        <v>90199</v>
      </c>
      <c r="C65" s="9" t="s">
        <v>22</v>
      </c>
      <c r="D65" s="9" t="s">
        <v>23</v>
      </c>
      <c r="E65" s="9" t="s">
        <v>24</v>
      </c>
      <c r="F65" s="21">
        <v>403352</v>
      </c>
      <c r="G65" s="21">
        <v>731682</v>
      </c>
      <c r="H65" s="21">
        <v>613552</v>
      </c>
      <c r="I65" s="21">
        <v>0</v>
      </c>
      <c r="J65" s="9" t="s">
        <v>12</v>
      </c>
      <c r="K65" s="9">
        <v>7.81</v>
      </c>
    </row>
    <row r="66" spans="1:11" x14ac:dyDescent="0.35">
      <c r="A66" s="21">
        <v>2016</v>
      </c>
      <c r="B66" s="21">
        <v>90199</v>
      </c>
      <c r="C66" s="9" t="s">
        <v>22</v>
      </c>
      <c r="D66" s="9" t="s">
        <v>23</v>
      </c>
      <c r="E66" s="9" t="s">
        <v>24</v>
      </c>
      <c r="F66" s="21">
        <v>403352</v>
      </c>
      <c r="G66" s="21">
        <v>731682</v>
      </c>
      <c r="H66" s="21">
        <v>613552</v>
      </c>
      <c r="I66" s="21">
        <v>0</v>
      </c>
      <c r="J66" s="9" t="s">
        <v>13</v>
      </c>
      <c r="K66" s="9">
        <v>4.9398</v>
      </c>
    </row>
    <row r="67" spans="1:11" x14ac:dyDescent="0.35">
      <c r="A67" s="21">
        <v>2016</v>
      </c>
      <c r="B67" s="21">
        <v>90199</v>
      </c>
      <c r="C67" s="9" t="s">
        <v>22</v>
      </c>
      <c r="D67" s="9" t="s">
        <v>23</v>
      </c>
      <c r="E67" s="9" t="s">
        <v>24</v>
      </c>
      <c r="F67" s="21">
        <v>403352</v>
      </c>
      <c r="G67" s="21">
        <v>731682</v>
      </c>
      <c r="H67" s="21">
        <v>613552</v>
      </c>
      <c r="I67" s="21">
        <v>0</v>
      </c>
      <c r="J67" s="9" t="s">
        <v>14</v>
      </c>
      <c r="K67" s="9">
        <v>67.42</v>
      </c>
    </row>
    <row r="68" spans="1:11" x14ac:dyDescent="0.35">
      <c r="A68" s="21">
        <v>2016</v>
      </c>
      <c r="B68" s="21">
        <v>90199</v>
      </c>
      <c r="C68" s="9" t="s">
        <v>22</v>
      </c>
      <c r="D68" s="9" t="s">
        <v>23</v>
      </c>
      <c r="E68" s="9" t="s">
        <v>24</v>
      </c>
      <c r="F68" s="21">
        <v>403352</v>
      </c>
      <c r="G68" s="21">
        <v>731682</v>
      </c>
      <c r="H68" s="21">
        <v>613552</v>
      </c>
      <c r="I68" s="21">
        <v>0</v>
      </c>
      <c r="J68" s="9" t="s">
        <v>45</v>
      </c>
      <c r="K68" s="9">
        <v>8.6298566878980889</v>
      </c>
    </row>
    <row r="69" spans="1:11" x14ac:dyDescent="0.35">
      <c r="A69" s="21">
        <v>2016</v>
      </c>
      <c r="B69" s="21">
        <v>90199</v>
      </c>
      <c r="C69" s="9" t="s">
        <v>22</v>
      </c>
      <c r="D69" s="9" t="s">
        <v>23</v>
      </c>
      <c r="E69" s="9" t="s">
        <v>24</v>
      </c>
      <c r="F69" s="21">
        <v>403352</v>
      </c>
      <c r="G69" s="21">
        <v>731682</v>
      </c>
      <c r="H69" s="21">
        <v>613552</v>
      </c>
      <c r="I69" s="21">
        <v>0</v>
      </c>
      <c r="J69" s="9" t="s">
        <v>15</v>
      </c>
      <c r="K69" s="9">
        <v>0.63229999999999997</v>
      </c>
    </row>
    <row r="70" spans="1:11" x14ac:dyDescent="0.35">
      <c r="A70" s="21">
        <v>2016</v>
      </c>
      <c r="B70" s="21">
        <v>90199</v>
      </c>
      <c r="C70" s="9" t="s">
        <v>22</v>
      </c>
      <c r="D70" s="9" t="s">
        <v>23</v>
      </c>
      <c r="E70" s="9" t="s">
        <v>24</v>
      </c>
      <c r="F70" s="21">
        <v>403352</v>
      </c>
      <c r="G70" s="21">
        <v>731682</v>
      </c>
      <c r="H70" s="21">
        <v>613552</v>
      </c>
      <c r="I70" s="21">
        <v>0</v>
      </c>
      <c r="J70" s="9" t="s">
        <v>16</v>
      </c>
      <c r="K70" s="9">
        <v>0.10538758669228417</v>
      </c>
    </row>
    <row r="71" spans="1:11" x14ac:dyDescent="0.35">
      <c r="A71" s="21">
        <v>2016</v>
      </c>
      <c r="B71" s="21">
        <v>90199</v>
      </c>
      <c r="C71" s="9" t="s">
        <v>22</v>
      </c>
      <c r="D71" s="9" t="s">
        <v>23</v>
      </c>
      <c r="E71" s="9" t="s">
        <v>24</v>
      </c>
      <c r="F71" s="21">
        <v>403352</v>
      </c>
      <c r="G71" s="21">
        <v>731682</v>
      </c>
      <c r="H71" s="21">
        <v>613552</v>
      </c>
      <c r="I71" s="21">
        <v>0</v>
      </c>
      <c r="J71" s="9" t="s">
        <v>17</v>
      </c>
      <c r="K71" s="9">
        <v>7.1</v>
      </c>
    </row>
    <row r="72" spans="1:11" x14ac:dyDescent="0.35">
      <c r="A72" s="21">
        <v>2016</v>
      </c>
      <c r="B72" s="21">
        <v>90199</v>
      </c>
      <c r="C72" s="9" t="s">
        <v>22</v>
      </c>
      <c r="D72" s="9" t="s">
        <v>25</v>
      </c>
      <c r="E72" s="9" t="s">
        <v>26</v>
      </c>
      <c r="F72" s="21">
        <v>403352</v>
      </c>
      <c r="G72" s="21">
        <v>731682</v>
      </c>
      <c r="H72" s="21">
        <v>613552</v>
      </c>
      <c r="I72" s="21">
        <v>0</v>
      </c>
      <c r="J72" s="9" t="s">
        <v>5</v>
      </c>
      <c r="K72" s="9">
        <v>64208</v>
      </c>
    </row>
    <row r="73" spans="1:11" x14ac:dyDescent="0.35">
      <c r="A73" s="21">
        <v>2016</v>
      </c>
      <c r="B73" s="21">
        <v>90199</v>
      </c>
      <c r="C73" s="9" t="s">
        <v>22</v>
      </c>
      <c r="D73" s="9" t="s">
        <v>25</v>
      </c>
      <c r="E73" s="9" t="s">
        <v>26</v>
      </c>
      <c r="F73" s="21">
        <v>403352</v>
      </c>
      <c r="G73" s="21">
        <v>731682</v>
      </c>
      <c r="H73" s="21">
        <v>613552</v>
      </c>
      <c r="I73" s="21">
        <v>0</v>
      </c>
      <c r="J73" s="9" t="s">
        <v>6</v>
      </c>
      <c r="K73" s="9">
        <v>901769</v>
      </c>
    </row>
    <row r="74" spans="1:11" x14ac:dyDescent="0.35">
      <c r="A74" s="21">
        <v>2016</v>
      </c>
      <c r="B74" s="21">
        <v>90199</v>
      </c>
      <c r="C74" s="9" t="s">
        <v>22</v>
      </c>
      <c r="D74" s="9" t="s">
        <v>25</v>
      </c>
      <c r="E74" s="9" t="s">
        <v>26</v>
      </c>
      <c r="F74" s="21">
        <v>403352</v>
      </c>
      <c r="G74" s="21">
        <v>731682</v>
      </c>
      <c r="H74" s="21">
        <v>613552</v>
      </c>
      <c r="I74" s="21">
        <v>0</v>
      </c>
      <c r="J74" s="9" t="s">
        <v>7</v>
      </c>
      <c r="K74" s="9">
        <v>27808</v>
      </c>
    </row>
    <row r="75" spans="1:11" x14ac:dyDescent="0.35">
      <c r="A75" s="21">
        <v>2016</v>
      </c>
      <c r="B75" s="21">
        <v>90199</v>
      </c>
      <c r="C75" s="9" t="s">
        <v>22</v>
      </c>
      <c r="D75" s="9" t="s">
        <v>25</v>
      </c>
      <c r="E75" s="9" t="s">
        <v>26</v>
      </c>
      <c r="F75" s="21">
        <v>403352</v>
      </c>
      <c r="G75" s="21">
        <v>731682</v>
      </c>
      <c r="H75" s="21">
        <v>613552</v>
      </c>
      <c r="I75" s="21">
        <v>0</v>
      </c>
      <c r="J75" s="9" t="s">
        <v>8</v>
      </c>
      <c r="K75" s="9">
        <v>175436</v>
      </c>
    </row>
    <row r="76" spans="1:11" x14ac:dyDescent="0.35">
      <c r="A76" s="21">
        <v>2016</v>
      </c>
      <c r="B76" s="21">
        <v>90199</v>
      </c>
      <c r="C76" s="9" t="s">
        <v>22</v>
      </c>
      <c r="D76" s="9" t="s">
        <v>25</v>
      </c>
      <c r="E76" s="9" t="s">
        <v>26</v>
      </c>
      <c r="F76" s="21">
        <v>403352</v>
      </c>
      <c r="G76" s="21">
        <v>731682</v>
      </c>
      <c r="H76" s="21">
        <v>613552</v>
      </c>
      <c r="I76" s="21">
        <v>0</v>
      </c>
      <c r="J76" s="9" t="s">
        <v>9</v>
      </c>
      <c r="K76" s="9">
        <v>13016</v>
      </c>
    </row>
    <row r="77" spans="1:11" x14ac:dyDescent="0.35">
      <c r="A77" s="21">
        <v>2016</v>
      </c>
      <c r="B77" s="21">
        <v>90199</v>
      </c>
      <c r="C77" s="9" t="s">
        <v>22</v>
      </c>
      <c r="D77" s="9" t="s">
        <v>25</v>
      </c>
      <c r="E77" s="9" t="s">
        <v>26</v>
      </c>
      <c r="F77" s="21">
        <v>403352</v>
      </c>
      <c r="G77" s="21">
        <v>731682</v>
      </c>
      <c r="H77" s="21">
        <v>613552</v>
      </c>
      <c r="I77" s="21">
        <v>0</v>
      </c>
      <c r="J77" s="9" t="s">
        <v>10</v>
      </c>
      <c r="K77" s="9">
        <v>39146</v>
      </c>
    </row>
    <row r="78" spans="1:11" x14ac:dyDescent="0.35">
      <c r="A78" s="21">
        <v>2016</v>
      </c>
      <c r="B78" s="21">
        <v>90199</v>
      </c>
      <c r="C78" s="9" t="s">
        <v>22</v>
      </c>
      <c r="D78" s="9" t="s">
        <v>25</v>
      </c>
      <c r="E78" s="9" t="s">
        <v>26</v>
      </c>
      <c r="F78" s="21">
        <v>403352</v>
      </c>
      <c r="G78" s="21">
        <v>731682</v>
      </c>
      <c r="H78" s="21">
        <v>613552</v>
      </c>
      <c r="I78" s="21">
        <v>0</v>
      </c>
      <c r="J78" s="9" t="s">
        <v>11</v>
      </c>
      <c r="K78" s="9">
        <v>9</v>
      </c>
    </row>
    <row r="79" spans="1:11" x14ac:dyDescent="0.35">
      <c r="A79" s="21">
        <v>2016</v>
      </c>
      <c r="B79" s="21">
        <v>90199</v>
      </c>
      <c r="C79" s="9" t="s">
        <v>22</v>
      </c>
      <c r="D79" s="9" t="s">
        <v>25</v>
      </c>
      <c r="E79" s="9" t="s">
        <v>26</v>
      </c>
      <c r="F79" s="21">
        <v>403352</v>
      </c>
      <c r="G79" s="21">
        <v>731682</v>
      </c>
      <c r="H79" s="21">
        <v>613552</v>
      </c>
      <c r="I79" s="21">
        <v>0</v>
      </c>
      <c r="J79" s="9" t="s">
        <v>12</v>
      </c>
      <c r="K79" s="9">
        <v>23.04</v>
      </c>
    </row>
    <row r="80" spans="1:11" x14ac:dyDescent="0.35">
      <c r="A80" s="21">
        <v>2016</v>
      </c>
      <c r="B80" s="21">
        <v>90199</v>
      </c>
      <c r="C80" s="9" t="s">
        <v>22</v>
      </c>
      <c r="D80" s="9" t="s">
        <v>25</v>
      </c>
      <c r="E80" s="9" t="s">
        <v>26</v>
      </c>
      <c r="F80" s="21">
        <v>403352</v>
      </c>
      <c r="G80" s="21">
        <v>731682</v>
      </c>
      <c r="H80" s="21">
        <v>613552</v>
      </c>
      <c r="I80" s="21">
        <v>0</v>
      </c>
      <c r="J80" s="9" t="s">
        <v>13</v>
      </c>
      <c r="K80" s="9">
        <v>5.1402000000000001</v>
      </c>
    </row>
    <row r="81" spans="1:11" x14ac:dyDescent="0.35">
      <c r="A81" s="21">
        <v>2016</v>
      </c>
      <c r="B81" s="21">
        <v>90199</v>
      </c>
      <c r="C81" s="9" t="s">
        <v>22</v>
      </c>
      <c r="D81" s="9" t="s">
        <v>25</v>
      </c>
      <c r="E81" s="9" t="s">
        <v>26</v>
      </c>
      <c r="F81" s="21">
        <v>403352</v>
      </c>
      <c r="G81" s="21">
        <v>731682</v>
      </c>
      <c r="H81" s="21">
        <v>613552</v>
      </c>
      <c r="I81" s="21">
        <v>0</v>
      </c>
      <c r="J81" s="9" t="s">
        <v>14</v>
      </c>
      <c r="K81" s="9">
        <v>69.28</v>
      </c>
    </row>
    <row r="82" spans="1:11" x14ac:dyDescent="0.35">
      <c r="A82" s="21">
        <v>2016</v>
      </c>
      <c r="B82" s="21">
        <v>90199</v>
      </c>
      <c r="C82" s="9" t="s">
        <v>22</v>
      </c>
      <c r="D82" s="9" t="s">
        <v>25</v>
      </c>
      <c r="E82" s="9" t="s">
        <v>26</v>
      </c>
      <c r="F82" s="21">
        <v>403352</v>
      </c>
      <c r="G82" s="21">
        <v>731682</v>
      </c>
      <c r="H82" s="21">
        <v>613552</v>
      </c>
      <c r="I82" s="21">
        <v>0</v>
      </c>
      <c r="J82" s="9" t="s">
        <v>45</v>
      </c>
      <c r="K82" s="9">
        <v>3.0075291948371237</v>
      </c>
    </row>
    <row r="83" spans="1:11" x14ac:dyDescent="0.35">
      <c r="A83" s="21">
        <v>2016</v>
      </c>
      <c r="B83" s="21">
        <v>90199</v>
      </c>
      <c r="C83" s="9" t="s">
        <v>22</v>
      </c>
      <c r="D83" s="9" t="s">
        <v>25</v>
      </c>
      <c r="E83" s="9" t="s">
        <v>26</v>
      </c>
      <c r="F83" s="21">
        <v>403352</v>
      </c>
      <c r="G83" s="21">
        <v>731682</v>
      </c>
      <c r="H83" s="21">
        <v>613552</v>
      </c>
      <c r="I83" s="21">
        <v>0</v>
      </c>
      <c r="J83" s="9" t="s">
        <v>15</v>
      </c>
      <c r="K83" s="9">
        <v>0.22309999999999999</v>
      </c>
    </row>
    <row r="84" spans="1:11" x14ac:dyDescent="0.35">
      <c r="A84" s="21">
        <v>2016</v>
      </c>
      <c r="B84" s="21">
        <v>90199</v>
      </c>
      <c r="C84" s="9" t="s">
        <v>22</v>
      </c>
      <c r="D84" s="9" t="s">
        <v>25</v>
      </c>
      <c r="E84" s="9" t="s">
        <v>26</v>
      </c>
      <c r="F84" s="21">
        <v>403352</v>
      </c>
      <c r="G84" s="21">
        <v>731682</v>
      </c>
      <c r="H84" s="21">
        <v>613552</v>
      </c>
      <c r="I84" s="21">
        <v>0</v>
      </c>
      <c r="J84" s="9" t="s">
        <v>16</v>
      </c>
      <c r="K84" s="9">
        <v>3.0837165615584479E-2</v>
      </c>
    </row>
    <row r="85" spans="1:11" x14ac:dyDescent="0.35">
      <c r="A85" s="21">
        <v>2016</v>
      </c>
      <c r="B85" s="21">
        <v>90199</v>
      </c>
      <c r="C85" s="9" t="s">
        <v>22</v>
      </c>
      <c r="D85" s="9" t="s">
        <v>25</v>
      </c>
      <c r="E85" s="9" t="s">
        <v>26</v>
      </c>
      <c r="F85" s="21">
        <v>403352</v>
      </c>
      <c r="G85" s="21">
        <v>731682</v>
      </c>
      <c r="H85" s="21">
        <v>613552</v>
      </c>
      <c r="I85" s="21">
        <v>0</v>
      </c>
      <c r="J85" s="9" t="s">
        <v>17</v>
      </c>
      <c r="K85" s="9">
        <v>4.4000000000000004</v>
      </c>
    </row>
    <row r="86" spans="1:11" x14ac:dyDescent="0.35">
      <c r="A86" s="21">
        <v>2017</v>
      </c>
      <c r="B86" s="21">
        <v>90199</v>
      </c>
      <c r="C86" s="9" t="s">
        <v>22</v>
      </c>
      <c r="D86" s="9" t="s">
        <v>23</v>
      </c>
      <c r="E86" s="9" t="s">
        <v>24</v>
      </c>
      <c r="F86" s="21">
        <v>398181</v>
      </c>
      <c r="G86" s="21">
        <v>809836</v>
      </c>
      <c r="H86" s="21">
        <v>665218</v>
      </c>
      <c r="I86" s="21">
        <v>0</v>
      </c>
      <c r="J86" s="9" t="s">
        <v>5</v>
      </c>
      <c r="K86" s="9">
        <v>64208</v>
      </c>
    </row>
    <row r="87" spans="1:11" x14ac:dyDescent="0.35">
      <c r="A87" s="21">
        <v>2017</v>
      </c>
      <c r="B87" s="21">
        <v>90199</v>
      </c>
      <c r="C87" s="9" t="s">
        <v>22</v>
      </c>
      <c r="D87" s="9" t="s">
        <v>23</v>
      </c>
      <c r="E87" s="9" t="s">
        <v>24</v>
      </c>
      <c r="F87" s="21">
        <v>398181</v>
      </c>
      <c r="G87" s="21">
        <v>809836</v>
      </c>
      <c r="H87" s="21">
        <v>665218</v>
      </c>
      <c r="I87" s="21">
        <v>0</v>
      </c>
      <c r="J87" s="9" t="s">
        <v>6</v>
      </c>
      <c r="K87" s="9">
        <v>945588</v>
      </c>
    </row>
    <row r="88" spans="1:11" x14ac:dyDescent="0.35">
      <c r="A88" s="21">
        <v>2017</v>
      </c>
      <c r="B88" s="21">
        <v>90199</v>
      </c>
      <c r="C88" s="9" t="s">
        <v>22</v>
      </c>
      <c r="D88" s="9" t="s">
        <v>23</v>
      </c>
      <c r="E88" s="9" t="s">
        <v>24</v>
      </c>
      <c r="F88" s="21">
        <v>398181</v>
      </c>
      <c r="G88" s="21">
        <v>809836</v>
      </c>
      <c r="H88" s="21">
        <v>665218</v>
      </c>
      <c r="I88" s="21">
        <v>0</v>
      </c>
      <c r="J88" s="9" t="s">
        <v>7</v>
      </c>
      <c r="K88" s="9">
        <v>84283</v>
      </c>
    </row>
    <row r="89" spans="1:11" x14ac:dyDescent="0.35">
      <c r="A89" s="21">
        <v>2017</v>
      </c>
      <c r="B89" s="21">
        <v>90199</v>
      </c>
      <c r="C89" s="9" t="s">
        <v>22</v>
      </c>
      <c r="D89" s="9" t="s">
        <v>23</v>
      </c>
      <c r="E89" s="9" t="s">
        <v>24</v>
      </c>
      <c r="F89" s="21">
        <v>398181</v>
      </c>
      <c r="G89" s="21">
        <v>809836</v>
      </c>
      <c r="H89" s="21">
        <v>665218</v>
      </c>
      <c r="I89" s="21">
        <v>0</v>
      </c>
      <c r="J89" s="9" t="s">
        <v>8</v>
      </c>
      <c r="K89" s="9">
        <v>197570</v>
      </c>
    </row>
    <row r="90" spans="1:11" x14ac:dyDescent="0.35">
      <c r="A90" s="21">
        <v>2017</v>
      </c>
      <c r="B90" s="21">
        <v>90199</v>
      </c>
      <c r="C90" s="9" t="s">
        <v>22</v>
      </c>
      <c r="D90" s="9" t="s">
        <v>23</v>
      </c>
      <c r="E90" s="9" t="s">
        <v>24</v>
      </c>
      <c r="F90" s="21">
        <v>398181</v>
      </c>
      <c r="G90" s="21">
        <v>809836</v>
      </c>
      <c r="H90" s="21">
        <v>665218</v>
      </c>
      <c r="I90" s="21">
        <v>0</v>
      </c>
      <c r="J90" s="9" t="s">
        <v>9</v>
      </c>
      <c r="K90" s="9">
        <v>14864</v>
      </c>
    </row>
    <row r="91" spans="1:11" x14ac:dyDescent="0.35">
      <c r="A91" s="21">
        <v>2017</v>
      </c>
      <c r="B91" s="21">
        <v>90199</v>
      </c>
      <c r="C91" s="9" t="s">
        <v>22</v>
      </c>
      <c r="D91" s="9" t="s">
        <v>23</v>
      </c>
      <c r="E91" s="9" t="s">
        <v>24</v>
      </c>
      <c r="F91" s="21">
        <v>398181</v>
      </c>
      <c r="G91" s="21">
        <v>809836</v>
      </c>
      <c r="H91" s="21">
        <v>665218</v>
      </c>
      <c r="I91" s="21">
        <v>0</v>
      </c>
      <c r="J91" s="9" t="s">
        <v>10</v>
      </c>
      <c r="K91" s="9">
        <v>103002</v>
      </c>
    </row>
    <row r="92" spans="1:11" x14ac:dyDescent="0.35">
      <c r="A92" s="21">
        <v>2017</v>
      </c>
      <c r="B92" s="21">
        <v>90199</v>
      </c>
      <c r="C92" s="9" t="s">
        <v>22</v>
      </c>
      <c r="D92" s="9" t="s">
        <v>23</v>
      </c>
      <c r="E92" s="9" t="s">
        <v>24</v>
      </c>
      <c r="F92" s="21">
        <v>398181</v>
      </c>
      <c r="G92" s="21">
        <v>809836</v>
      </c>
      <c r="H92" s="21">
        <v>665218</v>
      </c>
      <c r="I92" s="21">
        <v>0</v>
      </c>
      <c r="J92" s="9" t="s">
        <v>11</v>
      </c>
      <c r="K92" s="9">
        <v>7</v>
      </c>
    </row>
    <row r="93" spans="1:11" x14ac:dyDescent="0.35">
      <c r="A93" s="21">
        <v>2017</v>
      </c>
      <c r="B93" s="21">
        <v>90199</v>
      </c>
      <c r="C93" s="9" t="s">
        <v>22</v>
      </c>
      <c r="D93" s="9" t="s">
        <v>23</v>
      </c>
      <c r="E93" s="9" t="s">
        <v>24</v>
      </c>
      <c r="F93" s="21">
        <v>398181</v>
      </c>
      <c r="G93" s="21">
        <v>809836</v>
      </c>
      <c r="H93" s="21">
        <v>665218</v>
      </c>
      <c r="I93" s="21">
        <v>0</v>
      </c>
      <c r="J93" s="9" t="s">
        <v>12</v>
      </c>
      <c r="K93" s="9">
        <v>9.18</v>
      </c>
    </row>
    <row r="94" spans="1:11" x14ac:dyDescent="0.35">
      <c r="A94" s="21">
        <v>2017</v>
      </c>
      <c r="B94" s="21">
        <v>90199</v>
      </c>
      <c r="C94" s="9" t="s">
        <v>22</v>
      </c>
      <c r="D94" s="9" t="s">
        <v>23</v>
      </c>
      <c r="E94" s="9" t="s">
        <v>24</v>
      </c>
      <c r="F94" s="21">
        <v>398181</v>
      </c>
      <c r="G94" s="21">
        <v>809836</v>
      </c>
      <c r="H94" s="21">
        <v>665218</v>
      </c>
      <c r="I94" s="21">
        <v>0</v>
      </c>
      <c r="J94" s="9" t="s">
        <v>13</v>
      </c>
      <c r="K94" s="9">
        <v>4.7861000000000002</v>
      </c>
    </row>
    <row r="95" spans="1:11" x14ac:dyDescent="0.35">
      <c r="A95" s="21">
        <v>2017</v>
      </c>
      <c r="B95" s="21">
        <v>90199</v>
      </c>
      <c r="C95" s="9" t="s">
        <v>22</v>
      </c>
      <c r="D95" s="9" t="s">
        <v>23</v>
      </c>
      <c r="E95" s="9" t="s">
        <v>24</v>
      </c>
      <c r="F95" s="21">
        <v>398181</v>
      </c>
      <c r="G95" s="21">
        <v>809836</v>
      </c>
      <c r="H95" s="21">
        <v>665218</v>
      </c>
      <c r="I95" s="21">
        <v>0</v>
      </c>
      <c r="J95" s="9" t="s">
        <v>14</v>
      </c>
      <c r="K95" s="9">
        <v>63.62</v>
      </c>
    </row>
    <row r="96" spans="1:11" x14ac:dyDescent="0.35">
      <c r="A96" s="21">
        <v>2017</v>
      </c>
      <c r="B96" s="21">
        <v>90199</v>
      </c>
      <c r="C96" s="9" t="s">
        <v>22</v>
      </c>
      <c r="D96" s="9" t="s">
        <v>23</v>
      </c>
      <c r="E96" s="9" t="s">
        <v>24</v>
      </c>
      <c r="F96" s="21">
        <v>398181</v>
      </c>
      <c r="G96" s="21">
        <v>809836</v>
      </c>
      <c r="H96" s="21">
        <v>665218</v>
      </c>
      <c r="I96" s="21">
        <v>0</v>
      </c>
      <c r="J96" s="9" t="s">
        <v>45</v>
      </c>
      <c r="K96" s="9">
        <v>6.9296286329386438</v>
      </c>
    </row>
    <row r="97" spans="1:11" x14ac:dyDescent="0.35">
      <c r="A97" s="21">
        <v>2017</v>
      </c>
      <c r="B97" s="21">
        <v>90199</v>
      </c>
      <c r="C97" s="9" t="s">
        <v>22</v>
      </c>
      <c r="D97" s="9" t="s">
        <v>23</v>
      </c>
      <c r="E97" s="9" t="s">
        <v>24</v>
      </c>
      <c r="F97" s="21">
        <v>398181</v>
      </c>
      <c r="G97" s="21">
        <v>809836</v>
      </c>
      <c r="H97" s="21">
        <v>665218</v>
      </c>
      <c r="I97" s="21">
        <v>0</v>
      </c>
      <c r="J97" s="9" t="s">
        <v>15</v>
      </c>
      <c r="K97" s="9">
        <v>0.52129999999999999</v>
      </c>
    </row>
    <row r="98" spans="1:11" x14ac:dyDescent="0.35">
      <c r="A98" s="21">
        <v>2017</v>
      </c>
      <c r="B98" s="21">
        <v>90199</v>
      </c>
      <c r="C98" s="9" t="s">
        <v>22</v>
      </c>
      <c r="D98" s="9" t="s">
        <v>23</v>
      </c>
      <c r="E98" s="9" t="s">
        <v>24</v>
      </c>
      <c r="F98" s="21">
        <v>398181</v>
      </c>
      <c r="G98" s="21">
        <v>809836</v>
      </c>
      <c r="H98" s="21">
        <v>665218</v>
      </c>
      <c r="I98" s="21">
        <v>0</v>
      </c>
      <c r="J98" s="9" t="s">
        <v>16</v>
      </c>
      <c r="K98" s="9">
        <v>8.9132899317673236E-2</v>
      </c>
    </row>
    <row r="99" spans="1:11" x14ac:dyDescent="0.35">
      <c r="A99" s="21">
        <v>2017</v>
      </c>
      <c r="B99" s="21">
        <v>90199</v>
      </c>
      <c r="C99" s="9" t="s">
        <v>22</v>
      </c>
      <c r="D99" s="9" t="s">
        <v>23</v>
      </c>
      <c r="E99" s="9" t="s">
        <v>24</v>
      </c>
      <c r="F99" s="21">
        <v>398181</v>
      </c>
      <c r="G99" s="21">
        <v>809836</v>
      </c>
      <c r="H99" s="21">
        <v>665218</v>
      </c>
      <c r="I99" s="21">
        <v>0</v>
      </c>
      <c r="J99" s="9" t="s">
        <v>17</v>
      </c>
      <c r="K99" s="9">
        <v>8.1</v>
      </c>
    </row>
    <row r="100" spans="1:11" x14ac:dyDescent="0.35">
      <c r="A100" s="21">
        <v>2017</v>
      </c>
      <c r="B100" s="21">
        <v>90199</v>
      </c>
      <c r="C100" s="9" t="s">
        <v>22</v>
      </c>
      <c r="D100" s="9" t="s">
        <v>25</v>
      </c>
      <c r="E100" s="9" t="s">
        <v>26</v>
      </c>
      <c r="F100" s="21">
        <v>398181</v>
      </c>
      <c r="G100" s="21">
        <v>809836</v>
      </c>
      <c r="H100" s="21">
        <v>665218</v>
      </c>
      <c r="I100" s="21">
        <v>0</v>
      </c>
      <c r="J100" s="9" t="s">
        <v>5</v>
      </c>
      <c r="K100" s="9">
        <v>64208</v>
      </c>
    </row>
    <row r="101" spans="1:11" x14ac:dyDescent="0.35">
      <c r="A101" s="21">
        <v>2017</v>
      </c>
      <c r="B101" s="21">
        <v>90199</v>
      </c>
      <c r="C101" s="9" t="s">
        <v>22</v>
      </c>
      <c r="D101" s="9" t="s">
        <v>25</v>
      </c>
      <c r="E101" s="9" t="s">
        <v>26</v>
      </c>
      <c r="F101" s="21">
        <v>398181</v>
      </c>
      <c r="G101" s="21">
        <v>809836</v>
      </c>
      <c r="H101" s="21">
        <v>665218</v>
      </c>
      <c r="I101" s="21">
        <v>0</v>
      </c>
      <c r="J101" s="9" t="s">
        <v>6</v>
      </c>
      <c r="K101" s="9">
        <v>927647</v>
      </c>
    </row>
    <row r="102" spans="1:11" x14ac:dyDescent="0.35">
      <c r="A102" s="21">
        <v>2017</v>
      </c>
      <c r="B102" s="21">
        <v>90199</v>
      </c>
      <c r="C102" s="9" t="s">
        <v>22</v>
      </c>
      <c r="D102" s="9" t="s">
        <v>25</v>
      </c>
      <c r="E102" s="9" t="s">
        <v>26</v>
      </c>
      <c r="F102" s="21">
        <v>398181</v>
      </c>
      <c r="G102" s="21">
        <v>809836</v>
      </c>
      <c r="H102" s="21">
        <v>665218</v>
      </c>
      <c r="I102" s="21">
        <v>0</v>
      </c>
      <c r="J102" s="9" t="s">
        <v>7</v>
      </c>
      <c r="K102" s="9">
        <v>22732</v>
      </c>
    </row>
    <row r="103" spans="1:11" x14ac:dyDescent="0.35">
      <c r="A103" s="21">
        <v>2017</v>
      </c>
      <c r="B103" s="21">
        <v>90199</v>
      </c>
      <c r="C103" s="9" t="s">
        <v>22</v>
      </c>
      <c r="D103" s="9" t="s">
        <v>25</v>
      </c>
      <c r="E103" s="9" t="s">
        <v>26</v>
      </c>
      <c r="F103" s="21">
        <v>398181</v>
      </c>
      <c r="G103" s="21">
        <v>809836</v>
      </c>
      <c r="H103" s="21">
        <v>665218</v>
      </c>
      <c r="I103" s="21">
        <v>0</v>
      </c>
      <c r="J103" s="9" t="s">
        <v>8</v>
      </c>
      <c r="K103" s="9">
        <v>169178</v>
      </c>
    </row>
    <row r="104" spans="1:11" x14ac:dyDescent="0.35">
      <c r="A104" s="21">
        <v>2017</v>
      </c>
      <c r="B104" s="21">
        <v>90199</v>
      </c>
      <c r="C104" s="9" t="s">
        <v>22</v>
      </c>
      <c r="D104" s="9" t="s">
        <v>25</v>
      </c>
      <c r="E104" s="9" t="s">
        <v>26</v>
      </c>
      <c r="F104" s="21">
        <v>398181</v>
      </c>
      <c r="G104" s="21">
        <v>809836</v>
      </c>
      <c r="H104" s="21">
        <v>665218</v>
      </c>
      <c r="I104" s="21">
        <v>0</v>
      </c>
      <c r="J104" s="9" t="s">
        <v>9</v>
      </c>
      <c r="K104" s="9">
        <v>13354</v>
      </c>
    </row>
    <row r="105" spans="1:11" x14ac:dyDescent="0.35">
      <c r="A105" s="21">
        <v>2017</v>
      </c>
      <c r="B105" s="21">
        <v>90199</v>
      </c>
      <c r="C105" s="9" t="s">
        <v>22</v>
      </c>
      <c r="D105" s="9" t="s">
        <v>25</v>
      </c>
      <c r="E105" s="9" t="s">
        <v>26</v>
      </c>
      <c r="F105" s="21">
        <v>398181</v>
      </c>
      <c r="G105" s="21">
        <v>809836</v>
      </c>
      <c r="H105" s="21">
        <v>665218</v>
      </c>
      <c r="I105" s="21">
        <v>0</v>
      </c>
      <c r="J105" s="9" t="s">
        <v>10</v>
      </c>
      <c r="K105" s="9">
        <v>35661</v>
      </c>
    </row>
    <row r="106" spans="1:11" x14ac:dyDescent="0.35">
      <c r="A106" s="21">
        <v>2017</v>
      </c>
      <c r="B106" s="21">
        <v>90199</v>
      </c>
      <c r="C106" s="9" t="s">
        <v>22</v>
      </c>
      <c r="D106" s="9" t="s">
        <v>25</v>
      </c>
      <c r="E106" s="9" t="s">
        <v>26</v>
      </c>
      <c r="F106" s="21">
        <v>398181</v>
      </c>
      <c r="G106" s="21">
        <v>809836</v>
      </c>
      <c r="H106" s="21">
        <v>665218</v>
      </c>
      <c r="I106" s="21">
        <v>0</v>
      </c>
      <c r="J106" s="9" t="s">
        <v>11</v>
      </c>
      <c r="K106" s="9">
        <v>9</v>
      </c>
    </row>
    <row r="107" spans="1:11" x14ac:dyDescent="0.35">
      <c r="A107" s="21">
        <v>2017</v>
      </c>
      <c r="B107" s="21">
        <v>90199</v>
      </c>
      <c r="C107" s="9" t="s">
        <v>22</v>
      </c>
      <c r="D107" s="9" t="s">
        <v>25</v>
      </c>
      <c r="E107" s="9" t="s">
        <v>26</v>
      </c>
      <c r="F107" s="21">
        <v>398181</v>
      </c>
      <c r="G107" s="21">
        <v>809836</v>
      </c>
      <c r="H107" s="21">
        <v>665218</v>
      </c>
      <c r="I107" s="21">
        <v>0</v>
      </c>
      <c r="J107" s="9" t="s">
        <v>12</v>
      </c>
      <c r="K107" s="9">
        <v>26.01</v>
      </c>
    </row>
    <row r="108" spans="1:11" x14ac:dyDescent="0.35">
      <c r="A108" s="21">
        <v>2017</v>
      </c>
      <c r="B108" s="21">
        <v>90199</v>
      </c>
      <c r="C108" s="9" t="s">
        <v>22</v>
      </c>
      <c r="D108" s="9" t="s">
        <v>25</v>
      </c>
      <c r="E108" s="9" t="s">
        <v>26</v>
      </c>
      <c r="F108" s="21">
        <v>398181</v>
      </c>
      <c r="G108" s="21">
        <v>809836</v>
      </c>
      <c r="H108" s="21">
        <v>665218</v>
      </c>
      <c r="I108" s="21">
        <v>0</v>
      </c>
      <c r="J108" s="9" t="s">
        <v>13</v>
      </c>
      <c r="K108" s="9">
        <v>5.4832999999999998</v>
      </c>
    </row>
    <row r="109" spans="1:11" x14ac:dyDescent="0.35">
      <c r="A109" s="21">
        <v>2017</v>
      </c>
      <c r="B109" s="21">
        <v>90199</v>
      </c>
      <c r="C109" s="9" t="s">
        <v>22</v>
      </c>
      <c r="D109" s="9" t="s">
        <v>25</v>
      </c>
      <c r="E109" s="9" t="s">
        <v>26</v>
      </c>
      <c r="F109" s="21">
        <v>398181</v>
      </c>
      <c r="G109" s="21">
        <v>809836</v>
      </c>
      <c r="H109" s="21">
        <v>665218</v>
      </c>
      <c r="I109" s="21">
        <v>0</v>
      </c>
      <c r="J109" s="9" t="s">
        <v>14</v>
      </c>
      <c r="K109" s="9">
        <v>69.47</v>
      </c>
    </row>
    <row r="110" spans="1:11" x14ac:dyDescent="0.35">
      <c r="A110" s="21">
        <v>2017</v>
      </c>
      <c r="B110" s="21">
        <v>90199</v>
      </c>
      <c r="C110" s="9" t="s">
        <v>22</v>
      </c>
      <c r="D110" s="9" t="s">
        <v>25</v>
      </c>
      <c r="E110" s="9" t="s">
        <v>26</v>
      </c>
      <c r="F110" s="21">
        <v>398181</v>
      </c>
      <c r="G110" s="21">
        <v>809836</v>
      </c>
      <c r="H110" s="21">
        <v>665218</v>
      </c>
      <c r="I110" s="21">
        <v>0</v>
      </c>
      <c r="J110" s="9" t="s">
        <v>45</v>
      </c>
      <c r="K110" s="9">
        <v>2.6704358244720683</v>
      </c>
    </row>
    <row r="111" spans="1:11" x14ac:dyDescent="0.35">
      <c r="A111" s="21">
        <v>2017</v>
      </c>
      <c r="B111" s="21">
        <v>90199</v>
      </c>
      <c r="C111" s="9" t="s">
        <v>22</v>
      </c>
      <c r="D111" s="9" t="s">
        <v>25</v>
      </c>
      <c r="E111" s="9" t="s">
        <v>26</v>
      </c>
      <c r="F111" s="21">
        <v>398181</v>
      </c>
      <c r="G111" s="21">
        <v>809836</v>
      </c>
      <c r="H111" s="21">
        <v>665218</v>
      </c>
      <c r="I111" s="21">
        <v>0</v>
      </c>
      <c r="J111" s="9" t="s">
        <v>15</v>
      </c>
      <c r="K111" s="9">
        <v>0.21079999999999999</v>
      </c>
    </row>
    <row r="112" spans="1:11" x14ac:dyDescent="0.35">
      <c r="A112" s="21">
        <v>2017</v>
      </c>
      <c r="B112" s="21">
        <v>90199</v>
      </c>
      <c r="C112" s="9" t="s">
        <v>22</v>
      </c>
      <c r="D112" s="9" t="s">
        <v>25</v>
      </c>
      <c r="E112" s="9" t="s">
        <v>26</v>
      </c>
      <c r="F112" s="21">
        <v>398181</v>
      </c>
      <c r="G112" s="21">
        <v>809836</v>
      </c>
      <c r="H112" s="21">
        <v>665218</v>
      </c>
      <c r="I112" s="21">
        <v>0</v>
      </c>
      <c r="J112" s="9" t="s">
        <v>16</v>
      </c>
      <c r="K112" s="9">
        <v>2.4505011065631646E-2</v>
      </c>
    </row>
    <row r="113" spans="1:11" x14ac:dyDescent="0.35">
      <c r="A113" s="21">
        <v>2017</v>
      </c>
      <c r="B113" s="21">
        <v>90199</v>
      </c>
      <c r="C113" s="9" t="s">
        <v>22</v>
      </c>
      <c r="D113" s="9" t="s">
        <v>25</v>
      </c>
      <c r="E113" s="9" t="s">
        <v>26</v>
      </c>
      <c r="F113" s="21">
        <v>398181</v>
      </c>
      <c r="G113" s="21">
        <v>809836</v>
      </c>
      <c r="H113" s="21">
        <v>665218</v>
      </c>
      <c r="I113" s="21">
        <v>0</v>
      </c>
      <c r="J113" s="9" t="s">
        <v>17</v>
      </c>
      <c r="K113" s="9">
        <v>5.4</v>
      </c>
    </row>
    <row r="114" spans="1:11" x14ac:dyDescent="0.35">
      <c r="A114" s="21">
        <v>2018</v>
      </c>
      <c r="B114" s="21">
        <v>90199</v>
      </c>
      <c r="C114" s="9" t="s">
        <v>22</v>
      </c>
      <c r="D114" s="9" t="s">
        <v>23</v>
      </c>
      <c r="E114" s="9" t="s">
        <v>24</v>
      </c>
      <c r="F114" s="21">
        <v>451870</v>
      </c>
      <c r="G114" s="21">
        <v>927853</v>
      </c>
      <c r="H114" s="21">
        <v>755234</v>
      </c>
      <c r="I114" s="21">
        <v>0</v>
      </c>
      <c r="J114" s="9" t="s">
        <v>5</v>
      </c>
      <c r="K114" s="9">
        <v>66225</v>
      </c>
    </row>
    <row r="115" spans="1:11" x14ac:dyDescent="0.35">
      <c r="A115" s="21">
        <v>2018</v>
      </c>
      <c r="B115" s="21">
        <v>90199</v>
      </c>
      <c r="C115" s="9" t="s">
        <v>22</v>
      </c>
      <c r="D115" s="9" t="s">
        <v>23</v>
      </c>
      <c r="E115" s="9" t="s">
        <v>24</v>
      </c>
      <c r="F115" s="21">
        <v>451870</v>
      </c>
      <c r="G115" s="21">
        <v>927853</v>
      </c>
      <c r="H115" s="21">
        <v>755234</v>
      </c>
      <c r="I115" s="21">
        <v>0</v>
      </c>
      <c r="J115" s="9" t="s">
        <v>6</v>
      </c>
      <c r="K115" s="9">
        <v>1067811</v>
      </c>
    </row>
    <row r="116" spans="1:11" x14ac:dyDescent="0.35">
      <c r="A116" s="21">
        <v>2018</v>
      </c>
      <c r="B116" s="21">
        <v>90199</v>
      </c>
      <c r="C116" s="9" t="s">
        <v>22</v>
      </c>
      <c r="D116" s="9" t="s">
        <v>23</v>
      </c>
      <c r="E116" s="9" t="s">
        <v>24</v>
      </c>
      <c r="F116" s="21">
        <v>451870</v>
      </c>
      <c r="G116" s="21">
        <v>927853</v>
      </c>
      <c r="H116" s="21">
        <v>755234</v>
      </c>
      <c r="I116" s="21">
        <v>0</v>
      </c>
      <c r="J116" s="9" t="s">
        <v>7</v>
      </c>
      <c r="K116" s="9">
        <v>97935</v>
      </c>
    </row>
    <row r="117" spans="1:11" x14ac:dyDescent="0.35">
      <c r="A117" s="21">
        <v>2018</v>
      </c>
      <c r="B117" s="21">
        <v>90199</v>
      </c>
      <c r="C117" s="9" t="s">
        <v>22</v>
      </c>
      <c r="D117" s="9" t="s">
        <v>23</v>
      </c>
      <c r="E117" s="9" t="s">
        <v>24</v>
      </c>
      <c r="F117" s="21">
        <v>451870</v>
      </c>
      <c r="G117" s="21">
        <v>927853</v>
      </c>
      <c r="H117" s="21">
        <v>755234</v>
      </c>
      <c r="I117" s="21">
        <v>0</v>
      </c>
      <c r="J117" s="9" t="s">
        <v>8</v>
      </c>
      <c r="K117" s="9">
        <v>204726</v>
      </c>
    </row>
    <row r="118" spans="1:11" x14ac:dyDescent="0.35">
      <c r="A118" s="21">
        <v>2018</v>
      </c>
      <c r="B118" s="21">
        <v>90199</v>
      </c>
      <c r="C118" s="9" t="s">
        <v>22</v>
      </c>
      <c r="D118" s="9" t="s">
        <v>23</v>
      </c>
      <c r="E118" s="9" t="s">
        <v>24</v>
      </c>
      <c r="F118" s="21">
        <v>451870</v>
      </c>
      <c r="G118" s="21">
        <v>927853</v>
      </c>
      <c r="H118" s="21">
        <v>755234</v>
      </c>
      <c r="I118" s="21">
        <v>0</v>
      </c>
      <c r="J118" s="9" t="s">
        <v>9</v>
      </c>
      <c r="K118" s="9">
        <v>15495</v>
      </c>
    </row>
    <row r="119" spans="1:11" x14ac:dyDescent="0.35">
      <c r="A119" s="21">
        <v>2018</v>
      </c>
      <c r="B119" s="21">
        <v>90199</v>
      </c>
      <c r="C119" s="9" t="s">
        <v>22</v>
      </c>
      <c r="D119" s="9" t="s">
        <v>23</v>
      </c>
      <c r="E119" s="9" t="s">
        <v>24</v>
      </c>
      <c r="F119" s="21">
        <v>451870</v>
      </c>
      <c r="G119" s="21">
        <v>927853</v>
      </c>
      <c r="H119" s="21">
        <v>755234</v>
      </c>
      <c r="I119" s="21">
        <v>0</v>
      </c>
      <c r="J119" s="9" t="s">
        <v>10</v>
      </c>
      <c r="K119" s="9">
        <v>111564</v>
      </c>
    </row>
    <row r="120" spans="1:11" x14ac:dyDescent="0.35">
      <c r="A120" s="21">
        <v>2018</v>
      </c>
      <c r="B120" s="21">
        <v>90199</v>
      </c>
      <c r="C120" s="9" t="s">
        <v>22</v>
      </c>
      <c r="D120" s="9" t="s">
        <v>23</v>
      </c>
      <c r="E120" s="9" t="s">
        <v>24</v>
      </c>
      <c r="F120" s="21">
        <v>451870</v>
      </c>
      <c r="G120" s="21">
        <v>927853</v>
      </c>
      <c r="H120" s="21">
        <v>755234</v>
      </c>
      <c r="I120" s="21">
        <v>0</v>
      </c>
      <c r="J120" s="9" t="s">
        <v>11</v>
      </c>
      <c r="K120" s="9">
        <v>8</v>
      </c>
    </row>
    <row r="121" spans="1:11" x14ac:dyDescent="0.35">
      <c r="A121" s="21">
        <v>2018</v>
      </c>
      <c r="B121" s="21">
        <v>90199</v>
      </c>
      <c r="C121" s="9" t="s">
        <v>22</v>
      </c>
      <c r="D121" s="9" t="s">
        <v>23</v>
      </c>
      <c r="E121" s="9" t="s">
        <v>24</v>
      </c>
      <c r="F121" s="21">
        <v>451870</v>
      </c>
      <c r="G121" s="21">
        <v>927853</v>
      </c>
      <c r="H121" s="21">
        <v>755234</v>
      </c>
      <c r="I121" s="21">
        <v>0</v>
      </c>
      <c r="J121" s="9" t="s">
        <v>12</v>
      </c>
      <c r="K121" s="9">
        <v>9.57</v>
      </c>
    </row>
    <row r="122" spans="1:11" x14ac:dyDescent="0.35">
      <c r="A122" s="21">
        <v>2018</v>
      </c>
      <c r="B122" s="21">
        <v>90199</v>
      </c>
      <c r="C122" s="9" t="s">
        <v>22</v>
      </c>
      <c r="D122" s="9" t="s">
        <v>23</v>
      </c>
      <c r="E122" s="9" t="s">
        <v>24</v>
      </c>
      <c r="F122" s="21">
        <v>451870</v>
      </c>
      <c r="G122" s="21">
        <v>927853</v>
      </c>
      <c r="H122" s="21">
        <v>755234</v>
      </c>
      <c r="I122" s="21">
        <v>0</v>
      </c>
      <c r="J122" s="9" t="s">
        <v>13</v>
      </c>
      <c r="K122" s="9">
        <v>5.2157999999999998</v>
      </c>
    </row>
    <row r="123" spans="1:11" x14ac:dyDescent="0.35">
      <c r="A123" s="21">
        <v>2018</v>
      </c>
      <c r="B123" s="21">
        <v>90199</v>
      </c>
      <c r="C123" s="9" t="s">
        <v>22</v>
      </c>
      <c r="D123" s="9" t="s">
        <v>23</v>
      </c>
      <c r="E123" s="9" t="s">
        <v>24</v>
      </c>
      <c r="F123" s="21">
        <v>451870</v>
      </c>
      <c r="G123" s="21">
        <v>927853</v>
      </c>
      <c r="H123" s="21">
        <v>755234</v>
      </c>
      <c r="I123" s="21">
        <v>0</v>
      </c>
      <c r="J123" s="9" t="s">
        <v>14</v>
      </c>
      <c r="K123" s="9">
        <v>68.91</v>
      </c>
    </row>
    <row r="124" spans="1:11" x14ac:dyDescent="0.35">
      <c r="A124" s="21">
        <v>2018</v>
      </c>
      <c r="B124" s="21">
        <v>90199</v>
      </c>
      <c r="C124" s="9" t="s">
        <v>22</v>
      </c>
      <c r="D124" s="9" t="s">
        <v>23</v>
      </c>
      <c r="E124" s="9" t="s">
        <v>24</v>
      </c>
      <c r="F124" s="21">
        <v>451870</v>
      </c>
      <c r="G124" s="21">
        <v>927853</v>
      </c>
      <c r="H124" s="21">
        <v>755234</v>
      </c>
      <c r="I124" s="21">
        <v>0</v>
      </c>
      <c r="J124" s="9" t="s">
        <v>45</v>
      </c>
      <c r="K124" s="9">
        <v>7.2</v>
      </c>
    </row>
    <row r="125" spans="1:11" x14ac:dyDescent="0.35">
      <c r="A125" s="21">
        <v>2018</v>
      </c>
      <c r="B125" s="21">
        <v>90199</v>
      </c>
      <c r="C125" s="9" t="s">
        <v>22</v>
      </c>
      <c r="D125" s="9" t="s">
        <v>23</v>
      </c>
      <c r="E125" s="9" t="s">
        <v>24</v>
      </c>
      <c r="F125" s="21">
        <v>451870</v>
      </c>
      <c r="G125" s="21">
        <v>927853</v>
      </c>
      <c r="H125" s="21">
        <v>755234</v>
      </c>
      <c r="I125" s="21">
        <v>0</v>
      </c>
      <c r="J125" s="9" t="s">
        <v>15</v>
      </c>
      <c r="K125" s="9">
        <v>0.54490000000000005</v>
      </c>
    </row>
    <row r="126" spans="1:11" x14ac:dyDescent="0.35">
      <c r="A126" s="21">
        <v>2018</v>
      </c>
      <c r="B126" s="21">
        <v>90199</v>
      </c>
      <c r="C126" s="9" t="s">
        <v>22</v>
      </c>
      <c r="D126" s="9" t="s">
        <v>23</v>
      </c>
      <c r="E126" s="9" t="s">
        <v>24</v>
      </c>
      <c r="F126" s="21">
        <v>451870</v>
      </c>
      <c r="G126" s="21">
        <v>927853</v>
      </c>
      <c r="H126" s="21">
        <v>755234</v>
      </c>
      <c r="I126" s="21">
        <v>0</v>
      </c>
      <c r="J126" s="9" t="s">
        <v>16</v>
      </c>
      <c r="K126" s="9">
        <v>9.1715668784082577E-2</v>
      </c>
    </row>
    <row r="127" spans="1:11" x14ac:dyDescent="0.35">
      <c r="A127" s="21">
        <v>2018</v>
      </c>
      <c r="B127" s="21">
        <v>90199</v>
      </c>
      <c r="C127" s="9" t="s">
        <v>22</v>
      </c>
      <c r="D127" s="9" t="s">
        <v>23</v>
      </c>
      <c r="E127" s="9" t="s">
        <v>24</v>
      </c>
      <c r="F127" s="21">
        <v>451870</v>
      </c>
      <c r="G127" s="21">
        <v>927853</v>
      </c>
      <c r="H127" s="21">
        <v>755234</v>
      </c>
      <c r="I127" s="21">
        <v>0</v>
      </c>
      <c r="J127" s="9" t="s">
        <v>17</v>
      </c>
      <c r="K127" s="9">
        <v>9.1</v>
      </c>
    </row>
    <row r="128" spans="1:11" x14ac:dyDescent="0.35">
      <c r="A128" s="21">
        <v>2018</v>
      </c>
      <c r="B128" s="21">
        <v>90199</v>
      </c>
      <c r="C128" s="9" t="s">
        <v>22</v>
      </c>
      <c r="D128" s="9" t="s">
        <v>25</v>
      </c>
      <c r="E128" s="9" t="s">
        <v>26</v>
      </c>
      <c r="F128" s="21">
        <v>451870</v>
      </c>
      <c r="G128" s="21">
        <v>927853</v>
      </c>
      <c r="H128" s="21">
        <v>755234</v>
      </c>
      <c r="I128" s="21">
        <v>0</v>
      </c>
      <c r="J128" s="9" t="s">
        <v>5</v>
      </c>
      <c r="K128" s="9">
        <v>66225</v>
      </c>
    </row>
    <row r="129" spans="1:11" x14ac:dyDescent="0.35">
      <c r="A129" s="21">
        <v>2018</v>
      </c>
      <c r="B129" s="21">
        <v>90199</v>
      </c>
      <c r="C129" s="9" t="s">
        <v>22</v>
      </c>
      <c r="D129" s="9" t="s">
        <v>25</v>
      </c>
      <c r="E129" s="9" t="s">
        <v>26</v>
      </c>
      <c r="F129" s="21">
        <v>451870</v>
      </c>
      <c r="G129" s="21">
        <v>927853</v>
      </c>
      <c r="H129" s="21">
        <v>755234</v>
      </c>
      <c r="I129" s="21">
        <v>0</v>
      </c>
      <c r="J129" s="9" t="s">
        <v>6</v>
      </c>
      <c r="K129" s="9">
        <v>1067146</v>
      </c>
    </row>
    <row r="130" spans="1:11" x14ac:dyDescent="0.35">
      <c r="A130" s="21">
        <v>2018</v>
      </c>
      <c r="B130" s="21">
        <v>90199</v>
      </c>
      <c r="C130" s="9" t="s">
        <v>22</v>
      </c>
      <c r="D130" s="9" t="s">
        <v>25</v>
      </c>
      <c r="E130" s="9" t="s">
        <v>26</v>
      </c>
      <c r="F130" s="21">
        <v>451870</v>
      </c>
      <c r="G130" s="21">
        <v>927853</v>
      </c>
      <c r="H130" s="21">
        <v>755234</v>
      </c>
      <c r="I130" s="21">
        <v>0</v>
      </c>
      <c r="J130" s="9" t="s">
        <v>7</v>
      </c>
      <c r="K130" s="9">
        <v>21128</v>
      </c>
    </row>
    <row r="131" spans="1:11" x14ac:dyDescent="0.35">
      <c r="A131" s="21">
        <v>2018</v>
      </c>
      <c r="B131" s="21">
        <v>90199</v>
      </c>
      <c r="C131" s="9" t="s">
        <v>22</v>
      </c>
      <c r="D131" s="9" t="s">
        <v>25</v>
      </c>
      <c r="E131" s="9" t="s">
        <v>26</v>
      </c>
      <c r="F131" s="21">
        <v>451870</v>
      </c>
      <c r="G131" s="21">
        <v>927853</v>
      </c>
      <c r="H131" s="21">
        <v>755234</v>
      </c>
      <c r="I131" s="21">
        <v>0</v>
      </c>
      <c r="J131" s="9" t="s">
        <v>8</v>
      </c>
      <c r="K131" s="9">
        <v>149147</v>
      </c>
    </row>
    <row r="132" spans="1:11" x14ac:dyDescent="0.35">
      <c r="A132" s="21">
        <v>2018</v>
      </c>
      <c r="B132" s="21">
        <v>90199</v>
      </c>
      <c r="C132" s="9" t="s">
        <v>22</v>
      </c>
      <c r="D132" s="9" t="s">
        <v>25</v>
      </c>
      <c r="E132" s="9" t="s">
        <v>26</v>
      </c>
      <c r="F132" s="21">
        <v>451870</v>
      </c>
      <c r="G132" s="21">
        <v>927853</v>
      </c>
      <c r="H132" s="21">
        <v>755234</v>
      </c>
      <c r="I132" s="21">
        <v>0</v>
      </c>
      <c r="J132" s="9" t="s">
        <v>9</v>
      </c>
      <c r="K132" s="9">
        <v>11179</v>
      </c>
    </row>
    <row r="133" spans="1:11" x14ac:dyDescent="0.35">
      <c r="A133" s="21">
        <v>2018</v>
      </c>
      <c r="B133" s="21">
        <v>90199</v>
      </c>
      <c r="C133" s="9" t="s">
        <v>22</v>
      </c>
      <c r="D133" s="9" t="s">
        <v>25</v>
      </c>
      <c r="E133" s="9" t="s">
        <v>26</v>
      </c>
      <c r="F133" s="21">
        <v>451870</v>
      </c>
      <c r="G133" s="21">
        <v>927853</v>
      </c>
      <c r="H133" s="21">
        <v>755234</v>
      </c>
      <c r="I133" s="21">
        <v>0</v>
      </c>
      <c r="J133" s="9" t="s">
        <v>10</v>
      </c>
      <c r="K133" s="9">
        <v>32224</v>
      </c>
    </row>
    <row r="134" spans="1:11" x14ac:dyDescent="0.35">
      <c r="A134" s="21">
        <v>2018</v>
      </c>
      <c r="B134" s="21">
        <v>90199</v>
      </c>
      <c r="C134" s="9" t="s">
        <v>22</v>
      </c>
      <c r="D134" s="9" t="s">
        <v>25</v>
      </c>
      <c r="E134" s="9" t="s">
        <v>26</v>
      </c>
      <c r="F134" s="21">
        <v>451870</v>
      </c>
      <c r="G134" s="21">
        <v>927853</v>
      </c>
      <c r="H134" s="21">
        <v>755234</v>
      </c>
      <c r="I134" s="21">
        <v>0</v>
      </c>
      <c r="J134" s="9" t="s">
        <v>11</v>
      </c>
      <c r="K134" s="9">
        <v>9</v>
      </c>
    </row>
    <row r="135" spans="1:11" x14ac:dyDescent="0.35">
      <c r="A135" s="21">
        <v>2018</v>
      </c>
      <c r="B135" s="21">
        <v>90199</v>
      </c>
      <c r="C135" s="9" t="s">
        <v>22</v>
      </c>
      <c r="D135" s="9" t="s">
        <v>25</v>
      </c>
      <c r="E135" s="9" t="s">
        <v>26</v>
      </c>
      <c r="F135" s="21">
        <v>451870</v>
      </c>
      <c r="G135" s="21">
        <v>927853</v>
      </c>
      <c r="H135" s="21">
        <v>755234</v>
      </c>
      <c r="I135" s="21">
        <v>0</v>
      </c>
      <c r="J135" s="9" t="s">
        <v>12</v>
      </c>
      <c r="K135" s="9">
        <v>33.119999999999997</v>
      </c>
    </row>
    <row r="136" spans="1:11" x14ac:dyDescent="0.35">
      <c r="A136" s="21">
        <v>2018</v>
      </c>
      <c r="B136" s="21">
        <v>90199</v>
      </c>
      <c r="C136" s="9" t="s">
        <v>22</v>
      </c>
      <c r="D136" s="9" t="s">
        <v>25</v>
      </c>
      <c r="E136" s="9" t="s">
        <v>26</v>
      </c>
      <c r="F136" s="21">
        <v>451870</v>
      </c>
      <c r="G136" s="21">
        <v>927853</v>
      </c>
      <c r="H136" s="21">
        <v>755234</v>
      </c>
      <c r="I136" s="21">
        <v>0</v>
      </c>
      <c r="J136" s="9" t="s">
        <v>13</v>
      </c>
      <c r="K136" s="9">
        <v>7.1550000000000002</v>
      </c>
    </row>
    <row r="137" spans="1:11" x14ac:dyDescent="0.35">
      <c r="A137" s="21">
        <v>2018</v>
      </c>
      <c r="B137" s="21">
        <v>90199</v>
      </c>
      <c r="C137" s="9" t="s">
        <v>22</v>
      </c>
      <c r="D137" s="9" t="s">
        <v>25</v>
      </c>
      <c r="E137" s="9" t="s">
        <v>26</v>
      </c>
      <c r="F137" s="21">
        <v>451870</v>
      </c>
      <c r="G137" s="21">
        <v>927853</v>
      </c>
      <c r="H137" s="21">
        <v>755234</v>
      </c>
      <c r="I137" s="21">
        <v>0</v>
      </c>
      <c r="J137" s="9" t="s">
        <v>14</v>
      </c>
      <c r="K137" s="9">
        <v>95.46</v>
      </c>
    </row>
    <row r="138" spans="1:11" x14ac:dyDescent="0.35">
      <c r="A138" s="21">
        <v>2018</v>
      </c>
      <c r="B138" s="21">
        <v>90199</v>
      </c>
      <c r="C138" s="9" t="s">
        <v>22</v>
      </c>
      <c r="D138" s="9" t="s">
        <v>25</v>
      </c>
      <c r="E138" s="9" t="s">
        <v>26</v>
      </c>
      <c r="F138" s="21">
        <v>451870</v>
      </c>
      <c r="G138" s="21">
        <v>927853</v>
      </c>
      <c r="H138" s="21">
        <v>755234</v>
      </c>
      <c r="I138" s="21">
        <v>0</v>
      </c>
      <c r="J138" s="9" t="s">
        <v>45</v>
      </c>
      <c r="K138" s="9">
        <v>2.8825476339565257</v>
      </c>
    </row>
    <row r="139" spans="1:11" x14ac:dyDescent="0.35">
      <c r="A139" s="21">
        <v>2018</v>
      </c>
      <c r="B139" s="21">
        <v>90199</v>
      </c>
      <c r="C139" s="9" t="s">
        <v>22</v>
      </c>
      <c r="D139" s="9" t="s">
        <v>25</v>
      </c>
      <c r="E139" s="9" t="s">
        <v>26</v>
      </c>
      <c r="F139" s="21">
        <v>451870</v>
      </c>
      <c r="G139" s="21">
        <v>927853</v>
      </c>
      <c r="H139" s="21">
        <v>755234</v>
      </c>
      <c r="I139" s="21">
        <v>0</v>
      </c>
      <c r="J139" s="9" t="s">
        <v>15</v>
      </c>
      <c r="K139" s="9">
        <v>0.21609999999999999</v>
      </c>
    </row>
    <row r="140" spans="1:11" x14ac:dyDescent="0.35">
      <c r="A140" s="21">
        <v>2018</v>
      </c>
      <c r="B140" s="21">
        <v>90199</v>
      </c>
      <c r="C140" s="9" t="s">
        <v>22</v>
      </c>
      <c r="D140" s="9" t="s">
        <v>25</v>
      </c>
      <c r="E140" s="9" t="s">
        <v>26</v>
      </c>
      <c r="F140" s="21">
        <v>451870</v>
      </c>
      <c r="G140" s="21">
        <v>927853</v>
      </c>
      <c r="H140" s="21">
        <v>755234</v>
      </c>
      <c r="I140" s="21">
        <v>0</v>
      </c>
      <c r="J140" s="9" t="s">
        <v>16</v>
      </c>
      <c r="K140" s="9">
        <v>1.9798603002775628E-2</v>
      </c>
    </row>
    <row r="141" spans="1:11" x14ac:dyDescent="0.35">
      <c r="A141" s="21">
        <v>2018</v>
      </c>
      <c r="B141" s="21">
        <v>90199</v>
      </c>
      <c r="C141" s="9" t="s">
        <v>22</v>
      </c>
      <c r="D141" s="9" t="s">
        <v>25</v>
      </c>
      <c r="E141" s="9" t="s">
        <v>26</v>
      </c>
      <c r="F141" s="21">
        <v>451870</v>
      </c>
      <c r="G141" s="21">
        <v>927853</v>
      </c>
      <c r="H141" s="21">
        <v>755234</v>
      </c>
      <c r="I141" s="21">
        <v>0</v>
      </c>
      <c r="J141" s="9" t="s">
        <v>17</v>
      </c>
      <c r="K141" s="9">
        <v>6.4</v>
      </c>
    </row>
    <row r="142" spans="1:11" x14ac:dyDescent="0.35">
      <c r="A142" s="21">
        <v>2019</v>
      </c>
      <c r="B142" s="21">
        <v>90199</v>
      </c>
      <c r="C142" s="9" t="s">
        <v>22</v>
      </c>
      <c r="D142" s="9" t="s">
        <v>23</v>
      </c>
      <c r="E142" s="9" t="s">
        <v>24</v>
      </c>
      <c r="F142" s="21">
        <v>426337</v>
      </c>
      <c r="G142" s="21">
        <v>909581</v>
      </c>
      <c r="H142" s="21">
        <v>813957</v>
      </c>
      <c r="I142" s="21">
        <v>0</v>
      </c>
      <c r="J142" s="9" t="s">
        <v>5</v>
      </c>
      <c r="K142" s="9">
        <v>66225</v>
      </c>
    </row>
    <row r="143" spans="1:11" x14ac:dyDescent="0.35">
      <c r="A143" s="21">
        <v>2019</v>
      </c>
      <c r="B143" s="21">
        <v>90199</v>
      </c>
      <c r="C143" s="9" t="s">
        <v>22</v>
      </c>
      <c r="D143" s="9" t="s">
        <v>23</v>
      </c>
      <c r="E143" s="9" t="s">
        <v>24</v>
      </c>
      <c r="F143" s="21">
        <v>426337</v>
      </c>
      <c r="G143" s="21">
        <v>909581</v>
      </c>
      <c r="H143" s="21">
        <v>813957</v>
      </c>
      <c r="I143" s="21">
        <v>0</v>
      </c>
      <c r="J143" s="9" t="s">
        <v>6</v>
      </c>
      <c r="K143" s="9">
        <v>1067697</v>
      </c>
    </row>
    <row r="144" spans="1:11" x14ac:dyDescent="0.35">
      <c r="A144" s="21">
        <v>2019</v>
      </c>
      <c r="B144" s="21">
        <v>90199</v>
      </c>
      <c r="C144" s="9" t="s">
        <v>22</v>
      </c>
      <c r="D144" s="9" t="s">
        <v>23</v>
      </c>
      <c r="E144" s="9" t="s">
        <v>24</v>
      </c>
      <c r="F144" s="21">
        <v>426337</v>
      </c>
      <c r="G144" s="21">
        <v>909581</v>
      </c>
      <c r="H144" s="21">
        <v>813957</v>
      </c>
      <c r="I144" s="21">
        <v>0</v>
      </c>
      <c r="J144" s="9" t="s">
        <v>7</v>
      </c>
      <c r="K144" s="9">
        <v>126876</v>
      </c>
    </row>
    <row r="145" spans="1:11" x14ac:dyDescent="0.35">
      <c r="A145" s="21">
        <v>2019</v>
      </c>
      <c r="B145" s="21">
        <v>90199</v>
      </c>
      <c r="C145" s="9" t="s">
        <v>22</v>
      </c>
      <c r="D145" s="9" t="s">
        <v>23</v>
      </c>
      <c r="E145" s="9" t="s">
        <v>24</v>
      </c>
      <c r="F145" s="21">
        <v>426337</v>
      </c>
      <c r="G145" s="21">
        <v>909581</v>
      </c>
      <c r="H145" s="21">
        <v>813957</v>
      </c>
      <c r="I145" s="21">
        <v>0</v>
      </c>
      <c r="J145" s="9" t="s">
        <v>8</v>
      </c>
      <c r="K145" s="9">
        <v>242305</v>
      </c>
    </row>
    <row r="146" spans="1:11" x14ac:dyDescent="0.35">
      <c r="A146" s="21">
        <v>2019</v>
      </c>
      <c r="B146" s="21">
        <v>90199</v>
      </c>
      <c r="C146" s="9" t="s">
        <v>22</v>
      </c>
      <c r="D146" s="9" t="s">
        <v>23</v>
      </c>
      <c r="E146" s="9" t="s">
        <v>24</v>
      </c>
      <c r="F146" s="21">
        <v>426337</v>
      </c>
      <c r="G146" s="21">
        <v>909581</v>
      </c>
      <c r="H146" s="21">
        <v>813957</v>
      </c>
      <c r="I146" s="21">
        <v>0</v>
      </c>
      <c r="J146" s="9" t="s">
        <v>9</v>
      </c>
      <c r="K146" s="9">
        <v>19119</v>
      </c>
    </row>
    <row r="147" spans="1:11" x14ac:dyDescent="0.35">
      <c r="A147" s="21">
        <v>2019</v>
      </c>
      <c r="B147" s="21">
        <v>90199</v>
      </c>
      <c r="C147" s="9" t="s">
        <v>22</v>
      </c>
      <c r="D147" s="9" t="s">
        <v>23</v>
      </c>
      <c r="E147" s="9" t="s">
        <v>24</v>
      </c>
      <c r="F147" s="21">
        <v>426337</v>
      </c>
      <c r="G147" s="21">
        <v>909581</v>
      </c>
      <c r="H147" s="21">
        <v>813957</v>
      </c>
      <c r="I147" s="21">
        <v>0</v>
      </c>
      <c r="J147" s="9" t="s">
        <v>10</v>
      </c>
      <c r="K147" s="9">
        <v>89650</v>
      </c>
    </row>
    <row r="148" spans="1:11" x14ac:dyDescent="0.35">
      <c r="A148" s="21">
        <v>2019</v>
      </c>
      <c r="B148" s="21">
        <v>90199</v>
      </c>
      <c r="C148" s="9" t="s">
        <v>22</v>
      </c>
      <c r="D148" s="9" t="s">
        <v>23</v>
      </c>
      <c r="E148" s="9" t="s">
        <v>24</v>
      </c>
      <c r="F148" s="21">
        <v>426337</v>
      </c>
      <c r="G148" s="21">
        <v>909581</v>
      </c>
      <c r="H148" s="21">
        <v>813957</v>
      </c>
      <c r="I148" s="21">
        <v>0</v>
      </c>
      <c r="J148" s="9" t="s">
        <v>11</v>
      </c>
      <c r="K148" s="9">
        <v>8</v>
      </c>
    </row>
    <row r="149" spans="1:11" x14ac:dyDescent="0.35">
      <c r="A149" s="21">
        <v>2019</v>
      </c>
      <c r="B149" s="21">
        <v>90199</v>
      </c>
      <c r="C149" s="9" t="s">
        <v>22</v>
      </c>
      <c r="D149" s="9" t="s">
        <v>23</v>
      </c>
      <c r="E149" s="9" t="s">
        <v>24</v>
      </c>
      <c r="F149" s="21">
        <v>426337</v>
      </c>
      <c r="G149" s="21">
        <v>909581</v>
      </c>
      <c r="H149" s="21">
        <v>813957</v>
      </c>
      <c r="I149" s="21">
        <v>0</v>
      </c>
      <c r="J149" s="9" t="s">
        <v>12</v>
      </c>
      <c r="K149" s="9">
        <v>11.91</v>
      </c>
    </row>
    <row r="150" spans="1:11" x14ac:dyDescent="0.35">
      <c r="A150" s="21">
        <v>2019</v>
      </c>
      <c r="B150" s="21">
        <v>90199</v>
      </c>
      <c r="C150" s="9" t="s">
        <v>22</v>
      </c>
      <c r="D150" s="9" t="s">
        <v>23</v>
      </c>
      <c r="E150" s="9" t="s">
        <v>24</v>
      </c>
      <c r="F150" s="21">
        <v>426337</v>
      </c>
      <c r="G150" s="21">
        <v>909581</v>
      </c>
      <c r="H150" s="21">
        <v>813957</v>
      </c>
      <c r="I150" s="21">
        <v>0</v>
      </c>
      <c r="J150" s="9" t="s">
        <v>13</v>
      </c>
      <c r="K150" s="9">
        <v>4.4063999999999997</v>
      </c>
    </row>
    <row r="151" spans="1:11" x14ac:dyDescent="0.35">
      <c r="A151" s="21">
        <v>2019</v>
      </c>
      <c r="B151" s="21">
        <v>90199</v>
      </c>
      <c r="C151" s="9" t="s">
        <v>22</v>
      </c>
      <c r="D151" s="9" t="s">
        <v>23</v>
      </c>
      <c r="E151" s="9" t="s">
        <v>24</v>
      </c>
      <c r="F151" s="21">
        <v>426337</v>
      </c>
      <c r="G151" s="21">
        <v>909581</v>
      </c>
      <c r="H151" s="21">
        <v>813957</v>
      </c>
      <c r="I151" s="21">
        <v>0</v>
      </c>
      <c r="J151" s="9" t="s">
        <v>14</v>
      </c>
      <c r="K151" s="9">
        <v>55.84</v>
      </c>
    </row>
    <row r="152" spans="1:11" x14ac:dyDescent="0.35">
      <c r="A152" s="21">
        <v>2019</v>
      </c>
      <c r="B152" s="21">
        <v>90199</v>
      </c>
      <c r="C152" s="9" t="s">
        <v>22</v>
      </c>
      <c r="D152" s="9" t="s">
        <v>23</v>
      </c>
      <c r="E152" s="9" t="s">
        <v>24</v>
      </c>
      <c r="F152" s="21">
        <v>426337</v>
      </c>
      <c r="G152" s="21">
        <v>909581</v>
      </c>
      <c r="H152" s="21">
        <v>813957</v>
      </c>
      <c r="I152" s="21">
        <v>0</v>
      </c>
      <c r="J152" s="9" t="s">
        <v>45</v>
      </c>
      <c r="K152" s="9">
        <v>4.6890527747267114</v>
      </c>
    </row>
    <row r="153" spans="1:11" x14ac:dyDescent="0.35">
      <c r="A153" s="21">
        <v>2019</v>
      </c>
      <c r="B153" s="21">
        <v>90199</v>
      </c>
      <c r="C153" s="9" t="s">
        <v>22</v>
      </c>
      <c r="D153" s="9" t="s">
        <v>23</v>
      </c>
      <c r="E153" s="9" t="s">
        <v>24</v>
      </c>
      <c r="F153" s="21">
        <v>426337</v>
      </c>
      <c r="G153" s="21">
        <v>909581</v>
      </c>
      <c r="H153" s="21">
        <v>813957</v>
      </c>
      <c r="I153" s="21">
        <v>0</v>
      </c>
      <c r="J153" s="9" t="s">
        <v>15</v>
      </c>
      <c r="K153" s="9">
        <v>0.37</v>
      </c>
    </row>
    <row r="154" spans="1:11" x14ac:dyDescent="0.35">
      <c r="A154" s="21">
        <v>2019</v>
      </c>
      <c r="B154" s="21">
        <v>90199</v>
      </c>
      <c r="C154" s="9" t="s">
        <v>22</v>
      </c>
      <c r="D154" s="9" t="s">
        <v>23</v>
      </c>
      <c r="E154" s="9" t="s">
        <v>24</v>
      </c>
      <c r="F154" s="21">
        <v>426337</v>
      </c>
      <c r="G154" s="21">
        <v>909581</v>
      </c>
      <c r="H154" s="21">
        <v>813957</v>
      </c>
      <c r="I154" s="21">
        <v>0</v>
      </c>
      <c r="J154" s="9" t="s">
        <v>16</v>
      </c>
      <c r="K154" s="9">
        <v>0.11883146623058789</v>
      </c>
    </row>
    <row r="155" spans="1:11" x14ac:dyDescent="0.35">
      <c r="A155" s="21">
        <v>2019</v>
      </c>
      <c r="B155" s="21">
        <v>90199</v>
      </c>
      <c r="C155" s="9" t="s">
        <v>22</v>
      </c>
      <c r="D155" s="9" t="s">
        <v>23</v>
      </c>
      <c r="E155" s="9" t="s">
        <v>24</v>
      </c>
      <c r="F155" s="21">
        <v>426337</v>
      </c>
      <c r="G155" s="21">
        <v>909581</v>
      </c>
      <c r="H155" s="21">
        <v>813957</v>
      </c>
      <c r="I155" s="21">
        <v>0</v>
      </c>
      <c r="J155" s="9" t="s">
        <v>17</v>
      </c>
      <c r="K155" s="9">
        <v>10.1</v>
      </c>
    </row>
    <row r="156" spans="1:11" x14ac:dyDescent="0.35">
      <c r="A156" s="21">
        <v>2019</v>
      </c>
      <c r="B156" s="21">
        <v>90199</v>
      </c>
      <c r="C156" s="9" t="s">
        <v>22</v>
      </c>
      <c r="D156" s="9" t="s">
        <v>25</v>
      </c>
      <c r="E156" s="9" t="s">
        <v>26</v>
      </c>
      <c r="F156" s="21">
        <v>426337</v>
      </c>
      <c r="G156" s="21">
        <v>909581</v>
      </c>
      <c r="H156" s="21">
        <v>813957</v>
      </c>
      <c r="I156" s="21">
        <v>0</v>
      </c>
      <c r="J156" s="9" t="s">
        <v>5</v>
      </c>
      <c r="K156" s="9">
        <v>66225</v>
      </c>
    </row>
    <row r="157" spans="1:11" x14ac:dyDescent="0.35">
      <c r="A157" s="21">
        <v>2019</v>
      </c>
      <c r="B157" s="21">
        <v>90199</v>
      </c>
      <c r="C157" s="9" t="s">
        <v>22</v>
      </c>
      <c r="D157" s="9" t="s">
        <v>25</v>
      </c>
      <c r="E157" s="9" t="s">
        <v>26</v>
      </c>
      <c r="F157" s="21">
        <v>426337</v>
      </c>
      <c r="G157" s="21">
        <v>909581</v>
      </c>
      <c r="H157" s="21">
        <v>813957</v>
      </c>
      <c r="I157" s="21">
        <v>0</v>
      </c>
      <c r="J157" s="9" t="s">
        <v>6</v>
      </c>
      <c r="K157" s="9">
        <v>1082178</v>
      </c>
    </row>
    <row r="158" spans="1:11" x14ac:dyDescent="0.35">
      <c r="A158" s="21">
        <v>2019</v>
      </c>
      <c r="B158" s="21">
        <v>90199</v>
      </c>
      <c r="C158" s="9" t="s">
        <v>22</v>
      </c>
      <c r="D158" s="9" t="s">
        <v>25</v>
      </c>
      <c r="E158" s="9" t="s">
        <v>26</v>
      </c>
      <c r="F158" s="21">
        <v>426337</v>
      </c>
      <c r="G158" s="21">
        <v>909581</v>
      </c>
      <c r="H158" s="21">
        <v>813957</v>
      </c>
      <c r="I158" s="21">
        <v>0</v>
      </c>
      <c r="J158" s="9" t="s">
        <v>7</v>
      </c>
      <c r="K158" s="9">
        <v>46970</v>
      </c>
    </row>
    <row r="159" spans="1:11" x14ac:dyDescent="0.35">
      <c r="A159" s="21">
        <v>2019</v>
      </c>
      <c r="B159" s="21">
        <v>90199</v>
      </c>
      <c r="C159" s="9" t="s">
        <v>22</v>
      </c>
      <c r="D159" s="9" t="s">
        <v>25</v>
      </c>
      <c r="E159" s="9" t="s">
        <v>26</v>
      </c>
      <c r="F159" s="21">
        <v>426337</v>
      </c>
      <c r="G159" s="21">
        <v>909581</v>
      </c>
      <c r="H159" s="21">
        <v>813957</v>
      </c>
      <c r="I159" s="21">
        <v>0</v>
      </c>
      <c r="J159" s="9" t="s">
        <v>8</v>
      </c>
      <c r="K159" s="9">
        <v>101922</v>
      </c>
    </row>
    <row r="160" spans="1:11" x14ac:dyDescent="0.35">
      <c r="A160" s="21">
        <v>2019</v>
      </c>
      <c r="B160" s="21">
        <v>90199</v>
      </c>
      <c r="C160" s="9" t="s">
        <v>22</v>
      </c>
      <c r="D160" s="9" t="s">
        <v>25</v>
      </c>
      <c r="E160" s="9" t="s">
        <v>26</v>
      </c>
      <c r="F160" s="21">
        <v>426337</v>
      </c>
      <c r="G160" s="21">
        <v>909581</v>
      </c>
      <c r="H160" s="21">
        <v>813957</v>
      </c>
      <c r="I160" s="21">
        <v>0</v>
      </c>
      <c r="J160" s="9" t="s">
        <v>9</v>
      </c>
      <c r="K160" s="9">
        <v>10313</v>
      </c>
    </row>
    <row r="161" spans="1:11" x14ac:dyDescent="0.35">
      <c r="A161" s="21">
        <v>2019</v>
      </c>
      <c r="B161" s="21">
        <v>90199</v>
      </c>
      <c r="C161" s="9" t="s">
        <v>22</v>
      </c>
      <c r="D161" s="9" t="s">
        <v>25</v>
      </c>
      <c r="E161" s="9" t="s">
        <v>26</v>
      </c>
      <c r="F161" s="21">
        <v>426337</v>
      </c>
      <c r="G161" s="21">
        <v>909581</v>
      </c>
      <c r="H161" s="21">
        <v>813957</v>
      </c>
      <c r="I161" s="21">
        <v>0</v>
      </c>
      <c r="J161" s="9" t="s">
        <v>10</v>
      </c>
      <c r="K161" s="9">
        <v>20981</v>
      </c>
    </row>
    <row r="162" spans="1:11" x14ac:dyDescent="0.35">
      <c r="A162" s="21">
        <v>2019</v>
      </c>
      <c r="B162" s="21">
        <v>90199</v>
      </c>
      <c r="C162" s="9" t="s">
        <v>22</v>
      </c>
      <c r="D162" s="9" t="s">
        <v>25</v>
      </c>
      <c r="E162" s="9" t="s">
        <v>26</v>
      </c>
      <c r="F162" s="21">
        <v>426337</v>
      </c>
      <c r="G162" s="21">
        <v>909581</v>
      </c>
      <c r="H162" s="21">
        <v>813957</v>
      </c>
      <c r="I162" s="21">
        <v>0</v>
      </c>
      <c r="J162" s="9" t="s">
        <v>11</v>
      </c>
      <c r="K162" s="9">
        <v>9</v>
      </c>
    </row>
    <row r="163" spans="1:11" x14ac:dyDescent="0.35">
      <c r="A163" s="21">
        <v>2019</v>
      </c>
      <c r="B163" s="21">
        <v>90199</v>
      </c>
      <c r="C163" s="9" t="s">
        <v>22</v>
      </c>
      <c r="D163" s="9" t="s">
        <v>25</v>
      </c>
      <c r="E163" s="9" t="s">
        <v>26</v>
      </c>
      <c r="F163" s="21">
        <v>426337</v>
      </c>
      <c r="G163" s="21">
        <v>909581</v>
      </c>
      <c r="H163" s="21">
        <v>813957</v>
      </c>
      <c r="I163" s="21">
        <v>0</v>
      </c>
      <c r="J163" s="9" t="s">
        <v>12</v>
      </c>
      <c r="K163" s="9">
        <v>51.58</v>
      </c>
    </row>
    <row r="164" spans="1:11" x14ac:dyDescent="0.35">
      <c r="A164" s="21">
        <v>2019</v>
      </c>
      <c r="B164" s="21">
        <v>90199</v>
      </c>
      <c r="C164" s="9" t="s">
        <v>22</v>
      </c>
      <c r="D164" s="9" t="s">
        <v>25</v>
      </c>
      <c r="E164" s="9" t="s">
        <v>26</v>
      </c>
      <c r="F164" s="21">
        <v>426337</v>
      </c>
      <c r="G164" s="21">
        <v>909581</v>
      </c>
      <c r="H164" s="21">
        <v>813957</v>
      </c>
      <c r="I164" s="21">
        <v>0</v>
      </c>
      <c r="J164" s="9" t="s">
        <v>13</v>
      </c>
      <c r="K164" s="9">
        <v>10.617699999999999</v>
      </c>
    </row>
    <row r="165" spans="1:11" x14ac:dyDescent="0.35">
      <c r="A165" s="21">
        <v>2019</v>
      </c>
      <c r="B165" s="21">
        <v>90199</v>
      </c>
      <c r="C165" s="9" t="s">
        <v>22</v>
      </c>
      <c r="D165" s="9" t="s">
        <v>25</v>
      </c>
      <c r="E165" s="9" t="s">
        <v>26</v>
      </c>
      <c r="F165" s="21">
        <v>426337</v>
      </c>
      <c r="G165" s="21">
        <v>909581</v>
      </c>
      <c r="H165" s="21">
        <v>813957</v>
      </c>
      <c r="I165" s="21">
        <v>0</v>
      </c>
      <c r="J165" s="9" t="s">
        <v>14</v>
      </c>
      <c r="K165" s="9">
        <v>104.93</v>
      </c>
    </row>
    <row r="166" spans="1:11" x14ac:dyDescent="0.35">
      <c r="A166" s="21">
        <v>2019</v>
      </c>
      <c r="B166" s="21">
        <v>90199</v>
      </c>
      <c r="C166" s="9" t="s">
        <v>22</v>
      </c>
      <c r="D166" s="9" t="s">
        <v>25</v>
      </c>
      <c r="E166" s="9" t="s">
        <v>26</v>
      </c>
      <c r="F166" s="21">
        <v>426337</v>
      </c>
      <c r="G166" s="21">
        <v>909581</v>
      </c>
      <c r="H166" s="21">
        <v>813957</v>
      </c>
      <c r="I166" s="21">
        <v>0</v>
      </c>
      <c r="J166" s="9" t="s">
        <v>45</v>
      </c>
      <c r="K166" s="9">
        <v>2.0344225734509842</v>
      </c>
    </row>
    <row r="167" spans="1:11" x14ac:dyDescent="0.35">
      <c r="A167" s="21">
        <v>2019</v>
      </c>
      <c r="B167" s="21">
        <v>90199</v>
      </c>
      <c r="C167" s="9" t="s">
        <v>22</v>
      </c>
      <c r="D167" s="9" t="s">
        <v>25</v>
      </c>
      <c r="E167" s="9" t="s">
        <v>26</v>
      </c>
      <c r="F167" s="21">
        <v>426337</v>
      </c>
      <c r="G167" s="21">
        <v>909581</v>
      </c>
      <c r="H167" s="21">
        <v>813957</v>
      </c>
      <c r="I167" s="21">
        <v>0</v>
      </c>
      <c r="J167" s="9" t="s">
        <v>15</v>
      </c>
      <c r="K167" s="9">
        <v>0.2059</v>
      </c>
    </row>
    <row r="168" spans="1:11" x14ac:dyDescent="0.35">
      <c r="A168" s="21">
        <v>2019</v>
      </c>
      <c r="B168" s="21">
        <v>90199</v>
      </c>
      <c r="C168" s="9" t="s">
        <v>22</v>
      </c>
      <c r="D168" s="9" t="s">
        <v>25</v>
      </c>
      <c r="E168" s="9" t="s">
        <v>26</v>
      </c>
      <c r="F168" s="21">
        <v>426337</v>
      </c>
      <c r="G168" s="21">
        <v>909581</v>
      </c>
      <c r="H168" s="21">
        <v>813957</v>
      </c>
      <c r="I168" s="21">
        <v>0</v>
      </c>
      <c r="J168" s="9" t="s">
        <v>16</v>
      </c>
      <c r="K168" s="9">
        <v>4.3403210932027821E-2</v>
      </c>
    </row>
    <row r="169" spans="1:11" x14ac:dyDescent="0.35">
      <c r="A169" s="21">
        <v>2019</v>
      </c>
      <c r="B169" s="21">
        <v>90199</v>
      </c>
      <c r="C169" s="9" t="s">
        <v>22</v>
      </c>
      <c r="D169" s="9" t="s">
        <v>25</v>
      </c>
      <c r="E169" s="9" t="s">
        <v>26</v>
      </c>
      <c r="F169" s="21">
        <v>426337</v>
      </c>
      <c r="G169" s="21">
        <v>909581</v>
      </c>
      <c r="H169" s="21">
        <v>813957</v>
      </c>
      <c r="I169" s="21">
        <v>0</v>
      </c>
      <c r="J169" s="9" t="s">
        <v>17</v>
      </c>
      <c r="K169" s="9">
        <v>7.4</v>
      </c>
    </row>
    <row r="170" spans="1:11" x14ac:dyDescent="0.35">
      <c r="A170" s="21">
        <v>2020</v>
      </c>
      <c r="B170" s="21">
        <v>90199</v>
      </c>
      <c r="C170" s="9" t="s">
        <v>22</v>
      </c>
      <c r="D170" s="9" t="s">
        <v>23</v>
      </c>
      <c r="E170" s="9" t="s">
        <v>24</v>
      </c>
      <c r="F170" s="21">
        <v>145468</v>
      </c>
      <c r="G170" s="21">
        <v>1094387</v>
      </c>
      <c r="H170" s="21">
        <v>1192282</v>
      </c>
      <c r="I170" s="21">
        <v>0</v>
      </c>
      <c r="J170" s="9" t="s">
        <v>5</v>
      </c>
      <c r="K170" s="9">
        <v>66225</v>
      </c>
    </row>
    <row r="171" spans="1:11" x14ac:dyDescent="0.35">
      <c r="A171" s="21">
        <v>2020</v>
      </c>
      <c r="B171" s="21">
        <v>90199</v>
      </c>
      <c r="C171" s="9" t="s">
        <v>22</v>
      </c>
      <c r="D171" s="9" t="s">
        <v>23</v>
      </c>
      <c r="E171" s="9" t="s">
        <v>24</v>
      </c>
      <c r="F171" s="21">
        <v>145468</v>
      </c>
      <c r="G171" s="21">
        <v>1094387</v>
      </c>
      <c r="H171" s="21">
        <v>1192282</v>
      </c>
      <c r="I171" s="21">
        <v>0</v>
      </c>
      <c r="J171" s="9" t="s">
        <v>6</v>
      </c>
      <c r="K171" s="9">
        <v>1327094</v>
      </c>
    </row>
    <row r="172" spans="1:11" x14ac:dyDescent="0.35">
      <c r="A172" s="21">
        <v>2020</v>
      </c>
      <c r="B172" s="21">
        <v>90199</v>
      </c>
      <c r="C172" s="9" t="s">
        <v>22</v>
      </c>
      <c r="D172" s="9" t="s">
        <v>23</v>
      </c>
      <c r="E172" s="9" t="s">
        <v>24</v>
      </c>
      <c r="F172" s="21">
        <v>145468</v>
      </c>
      <c r="G172" s="21">
        <v>1094387</v>
      </c>
      <c r="H172" s="21">
        <v>1192282</v>
      </c>
      <c r="I172" s="21">
        <v>0</v>
      </c>
      <c r="J172" s="9" t="s">
        <v>7</v>
      </c>
      <c r="K172" s="9">
        <v>81501</v>
      </c>
    </row>
    <row r="173" spans="1:11" x14ac:dyDescent="0.35">
      <c r="A173" s="21">
        <v>2020</v>
      </c>
      <c r="B173" s="21">
        <v>90199</v>
      </c>
      <c r="C173" s="9" t="s">
        <v>22</v>
      </c>
      <c r="D173" s="9" t="s">
        <v>23</v>
      </c>
      <c r="E173" s="9" t="s">
        <v>24</v>
      </c>
      <c r="F173" s="21">
        <v>145468</v>
      </c>
      <c r="G173" s="21">
        <v>1094387</v>
      </c>
      <c r="H173" s="21">
        <v>1192282</v>
      </c>
      <c r="I173" s="21">
        <v>0</v>
      </c>
      <c r="J173" s="9" t="s">
        <v>8</v>
      </c>
      <c r="K173" s="9">
        <v>241800</v>
      </c>
    </row>
    <row r="174" spans="1:11" x14ac:dyDescent="0.35">
      <c r="A174" s="21">
        <v>2020</v>
      </c>
      <c r="B174" s="21">
        <v>90199</v>
      </c>
      <c r="C174" s="9" t="s">
        <v>22</v>
      </c>
      <c r="D174" s="9" t="s">
        <v>23</v>
      </c>
      <c r="E174" s="9" t="s">
        <v>24</v>
      </c>
      <c r="F174" s="21">
        <v>145468</v>
      </c>
      <c r="G174" s="21">
        <v>1094387</v>
      </c>
      <c r="H174" s="21">
        <v>1192282</v>
      </c>
      <c r="I174" s="21">
        <v>0</v>
      </c>
      <c r="J174" s="9" t="s">
        <v>9</v>
      </c>
      <c r="K174" s="9">
        <v>17776</v>
      </c>
    </row>
    <row r="175" spans="1:11" x14ac:dyDescent="0.35">
      <c r="A175" s="21">
        <v>2020</v>
      </c>
      <c r="B175" s="21">
        <v>90199</v>
      </c>
      <c r="C175" s="9" t="s">
        <v>22</v>
      </c>
      <c r="D175" s="9" t="s">
        <v>23</v>
      </c>
      <c r="E175" s="9" t="s">
        <v>24</v>
      </c>
      <c r="F175" s="21">
        <v>145468</v>
      </c>
      <c r="G175" s="21">
        <v>1094387</v>
      </c>
      <c r="H175" s="21">
        <v>1192282</v>
      </c>
      <c r="I175" s="21">
        <v>0</v>
      </c>
      <c r="J175" s="9" t="s">
        <v>10</v>
      </c>
      <c r="K175" s="9">
        <v>82716</v>
      </c>
    </row>
    <row r="176" spans="1:11" x14ac:dyDescent="0.35">
      <c r="A176" s="21">
        <v>2020</v>
      </c>
      <c r="B176" s="21">
        <v>90199</v>
      </c>
      <c r="C176" s="9" t="s">
        <v>22</v>
      </c>
      <c r="D176" s="9" t="s">
        <v>23</v>
      </c>
      <c r="E176" s="9" t="s">
        <v>24</v>
      </c>
      <c r="F176" s="21">
        <v>145468</v>
      </c>
      <c r="G176" s="21">
        <v>1094387</v>
      </c>
      <c r="H176" s="21">
        <v>1192282</v>
      </c>
      <c r="I176" s="21">
        <v>0</v>
      </c>
      <c r="J176" s="9" t="s">
        <v>11</v>
      </c>
      <c r="K176" s="9">
        <v>16</v>
      </c>
    </row>
    <row r="177" spans="1:11" x14ac:dyDescent="0.35">
      <c r="A177" s="21">
        <v>2020</v>
      </c>
      <c r="B177" s="21">
        <v>90199</v>
      </c>
      <c r="C177" s="9" t="s">
        <v>22</v>
      </c>
      <c r="D177" s="9" t="s">
        <v>23</v>
      </c>
      <c r="E177" s="9" t="s">
        <v>24</v>
      </c>
      <c r="F177" s="21">
        <v>145468</v>
      </c>
      <c r="G177" s="21">
        <v>1094387</v>
      </c>
      <c r="H177" s="21">
        <v>1192282</v>
      </c>
      <c r="I177" s="21">
        <v>0</v>
      </c>
      <c r="J177" s="9" t="s">
        <v>12</v>
      </c>
      <c r="K177" s="9">
        <v>16.04</v>
      </c>
    </row>
    <row r="178" spans="1:11" x14ac:dyDescent="0.35">
      <c r="A178" s="21">
        <v>2020</v>
      </c>
      <c r="B178" s="21">
        <v>90199</v>
      </c>
      <c r="C178" s="9" t="s">
        <v>22</v>
      </c>
      <c r="D178" s="9" t="s">
        <v>23</v>
      </c>
      <c r="E178" s="9" t="s">
        <v>24</v>
      </c>
      <c r="F178" s="21">
        <v>145468</v>
      </c>
      <c r="G178" s="21">
        <v>1094387</v>
      </c>
      <c r="H178" s="21">
        <v>1192282</v>
      </c>
      <c r="I178" s="21">
        <v>0</v>
      </c>
      <c r="J178" s="9" t="s">
        <v>13</v>
      </c>
      <c r="K178" s="9">
        <v>5.4884000000000004</v>
      </c>
    </row>
    <row r="179" spans="1:11" x14ac:dyDescent="0.35">
      <c r="A179" s="21">
        <v>2020</v>
      </c>
      <c r="B179" s="21">
        <v>90199</v>
      </c>
      <c r="C179" s="9" t="s">
        <v>22</v>
      </c>
      <c r="D179" s="9" t="s">
        <v>23</v>
      </c>
      <c r="E179" s="9" t="s">
        <v>24</v>
      </c>
      <c r="F179" s="21">
        <v>145468</v>
      </c>
      <c r="G179" s="21">
        <v>1094387</v>
      </c>
      <c r="H179" s="21">
        <v>1192282</v>
      </c>
      <c r="I179" s="21">
        <v>0</v>
      </c>
      <c r="J179" s="9" t="s">
        <v>14</v>
      </c>
      <c r="K179" s="9">
        <v>74.66</v>
      </c>
    </row>
    <row r="180" spans="1:11" x14ac:dyDescent="0.35">
      <c r="A180" s="21">
        <v>2020</v>
      </c>
      <c r="B180" s="21">
        <v>90199</v>
      </c>
      <c r="C180" s="9" t="s">
        <v>22</v>
      </c>
      <c r="D180" s="9" t="s">
        <v>23</v>
      </c>
      <c r="E180" s="9" t="s">
        <v>24</v>
      </c>
      <c r="F180" s="21">
        <v>145468</v>
      </c>
      <c r="G180" s="21">
        <v>1094387</v>
      </c>
      <c r="H180" s="21">
        <v>1192282</v>
      </c>
      <c r="I180" s="21">
        <v>0</v>
      </c>
      <c r="J180" s="9" t="s">
        <v>45</v>
      </c>
      <c r="K180" s="9">
        <v>4.653240324032403</v>
      </c>
    </row>
    <row r="181" spans="1:11" x14ac:dyDescent="0.35">
      <c r="A181" s="21">
        <v>2020</v>
      </c>
      <c r="B181" s="21">
        <v>90199</v>
      </c>
      <c r="C181" s="9" t="s">
        <v>22</v>
      </c>
      <c r="D181" s="9" t="s">
        <v>23</v>
      </c>
      <c r="E181" s="9" t="s">
        <v>24</v>
      </c>
      <c r="F181" s="21">
        <v>145468</v>
      </c>
      <c r="G181" s="21">
        <v>1094387</v>
      </c>
      <c r="H181" s="21">
        <v>1192282</v>
      </c>
      <c r="I181" s="21">
        <v>0</v>
      </c>
      <c r="J181" s="9" t="s">
        <v>15</v>
      </c>
      <c r="K181" s="9">
        <v>0.34210000000000002</v>
      </c>
    </row>
    <row r="182" spans="1:11" x14ac:dyDescent="0.35">
      <c r="A182" s="21">
        <v>2020</v>
      </c>
      <c r="B182" s="21">
        <v>90199</v>
      </c>
      <c r="C182" s="9" t="s">
        <v>22</v>
      </c>
      <c r="D182" s="9" t="s">
        <v>23</v>
      </c>
      <c r="E182" s="9" t="s">
        <v>24</v>
      </c>
      <c r="F182" s="21">
        <v>145468</v>
      </c>
      <c r="G182" s="21">
        <v>1094387</v>
      </c>
      <c r="H182" s="21">
        <v>1192282</v>
      </c>
      <c r="I182" s="21">
        <v>0</v>
      </c>
      <c r="J182" s="9" t="s">
        <v>16</v>
      </c>
      <c r="K182" s="9">
        <v>6.1413132754725742E-2</v>
      </c>
    </row>
    <row r="183" spans="1:11" x14ac:dyDescent="0.35">
      <c r="A183" s="21">
        <v>2020</v>
      </c>
      <c r="B183" s="21">
        <v>90199</v>
      </c>
      <c r="C183" s="9" t="s">
        <v>22</v>
      </c>
      <c r="D183" s="9" t="s">
        <v>23</v>
      </c>
      <c r="E183" s="9" t="s">
        <v>24</v>
      </c>
      <c r="F183" s="21">
        <v>145468</v>
      </c>
      <c r="G183" s="21">
        <v>1094387</v>
      </c>
      <c r="H183" s="21">
        <v>1192282</v>
      </c>
      <c r="I183" s="21">
        <v>0</v>
      </c>
      <c r="J183" s="9" t="s">
        <v>17</v>
      </c>
      <c r="K183" s="9">
        <v>6.3</v>
      </c>
    </row>
    <row r="184" spans="1:11" x14ac:dyDescent="0.35">
      <c r="A184" s="21">
        <v>2020</v>
      </c>
      <c r="B184" s="21">
        <v>90199</v>
      </c>
      <c r="C184" s="9" t="s">
        <v>22</v>
      </c>
      <c r="D184" s="9" t="s">
        <v>25</v>
      </c>
      <c r="E184" s="9" t="s">
        <v>26</v>
      </c>
      <c r="F184" s="21">
        <v>145468</v>
      </c>
      <c r="G184" s="21">
        <v>1094387</v>
      </c>
      <c r="H184" s="21">
        <v>1192282</v>
      </c>
      <c r="I184" s="21">
        <v>0</v>
      </c>
      <c r="J184" s="9" t="s">
        <v>5</v>
      </c>
      <c r="K184" s="9">
        <v>66225</v>
      </c>
    </row>
    <row r="185" spans="1:11" x14ac:dyDescent="0.35">
      <c r="A185" s="21">
        <v>2020</v>
      </c>
      <c r="B185" s="21">
        <v>90199</v>
      </c>
      <c r="C185" s="9" t="s">
        <v>22</v>
      </c>
      <c r="D185" s="9" t="s">
        <v>25</v>
      </c>
      <c r="E185" s="9" t="s">
        <v>26</v>
      </c>
      <c r="F185" s="21">
        <v>145468</v>
      </c>
      <c r="G185" s="21">
        <v>1094387</v>
      </c>
      <c r="H185" s="21">
        <v>1192282</v>
      </c>
      <c r="I185" s="21">
        <v>0</v>
      </c>
      <c r="J185" s="9" t="s">
        <v>6</v>
      </c>
      <c r="K185" s="9">
        <v>1105043</v>
      </c>
    </row>
    <row r="186" spans="1:11" x14ac:dyDescent="0.35">
      <c r="A186" s="21">
        <v>2020</v>
      </c>
      <c r="B186" s="21">
        <v>90199</v>
      </c>
      <c r="C186" s="9" t="s">
        <v>22</v>
      </c>
      <c r="D186" s="9" t="s">
        <v>25</v>
      </c>
      <c r="E186" s="9" t="s">
        <v>26</v>
      </c>
      <c r="F186" s="21">
        <v>145468</v>
      </c>
      <c r="G186" s="21">
        <v>1094387</v>
      </c>
      <c r="H186" s="21">
        <v>1192282</v>
      </c>
      <c r="I186" s="21">
        <v>0</v>
      </c>
      <c r="J186" s="9" t="s">
        <v>7</v>
      </c>
      <c r="K186" s="9">
        <v>38637</v>
      </c>
    </row>
    <row r="187" spans="1:11" x14ac:dyDescent="0.35">
      <c r="A187" s="21">
        <v>2020</v>
      </c>
      <c r="B187" s="21">
        <v>90199</v>
      </c>
      <c r="C187" s="9" t="s">
        <v>22</v>
      </c>
      <c r="D187" s="9" t="s">
        <v>25</v>
      </c>
      <c r="E187" s="9" t="s">
        <v>26</v>
      </c>
      <c r="F187" s="21">
        <v>145468</v>
      </c>
      <c r="G187" s="21">
        <v>1094387</v>
      </c>
      <c r="H187" s="21">
        <v>1192282</v>
      </c>
      <c r="I187" s="21">
        <v>0</v>
      </c>
      <c r="J187" s="9" t="s">
        <v>8</v>
      </c>
      <c r="K187" s="9">
        <v>72130</v>
      </c>
    </row>
    <row r="188" spans="1:11" x14ac:dyDescent="0.35">
      <c r="A188" s="21">
        <v>2020</v>
      </c>
      <c r="B188" s="21">
        <v>90199</v>
      </c>
      <c r="C188" s="9" t="s">
        <v>22</v>
      </c>
      <c r="D188" s="9" t="s">
        <v>25</v>
      </c>
      <c r="E188" s="9" t="s">
        <v>26</v>
      </c>
      <c r="F188" s="21">
        <v>145468</v>
      </c>
      <c r="G188" s="21">
        <v>1094387</v>
      </c>
      <c r="H188" s="21">
        <v>1192282</v>
      </c>
      <c r="I188" s="21">
        <v>0</v>
      </c>
      <c r="J188" s="9" t="s">
        <v>9</v>
      </c>
      <c r="K188" s="9">
        <v>8047</v>
      </c>
    </row>
    <row r="189" spans="1:11" x14ac:dyDescent="0.35">
      <c r="A189" s="21">
        <v>2020</v>
      </c>
      <c r="B189" s="21">
        <v>90199</v>
      </c>
      <c r="C189" s="9" t="s">
        <v>22</v>
      </c>
      <c r="D189" s="9" t="s">
        <v>25</v>
      </c>
      <c r="E189" s="9" t="s">
        <v>26</v>
      </c>
      <c r="F189" s="21">
        <v>145468</v>
      </c>
      <c r="G189" s="21">
        <v>1094387</v>
      </c>
      <c r="H189" s="21">
        <v>1192282</v>
      </c>
      <c r="I189" s="21">
        <v>0</v>
      </c>
      <c r="J189" s="9" t="s">
        <v>10</v>
      </c>
      <c r="K189" s="9">
        <v>12755</v>
      </c>
    </row>
    <row r="190" spans="1:11" x14ac:dyDescent="0.35">
      <c r="A190" s="21">
        <v>2020</v>
      </c>
      <c r="B190" s="21">
        <v>90199</v>
      </c>
      <c r="C190" s="9" t="s">
        <v>22</v>
      </c>
      <c r="D190" s="9" t="s">
        <v>25</v>
      </c>
      <c r="E190" s="9" t="s">
        <v>26</v>
      </c>
      <c r="F190" s="21">
        <v>145468</v>
      </c>
      <c r="G190" s="21">
        <v>1094387</v>
      </c>
      <c r="H190" s="21">
        <v>1192282</v>
      </c>
      <c r="I190" s="21">
        <v>0</v>
      </c>
      <c r="J190" s="9" t="s">
        <v>11</v>
      </c>
      <c r="K190" s="9">
        <v>8</v>
      </c>
    </row>
    <row r="191" spans="1:11" x14ac:dyDescent="0.35">
      <c r="A191" s="21">
        <v>2020</v>
      </c>
      <c r="B191" s="21">
        <v>90199</v>
      </c>
      <c r="C191" s="9" t="s">
        <v>22</v>
      </c>
      <c r="D191" s="9" t="s">
        <v>25</v>
      </c>
      <c r="E191" s="9" t="s">
        <v>26</v>
      </c>
      <c r="F191" s="21">
        <v>145468</v>
      </c>
      <c r="G191" s="21">
        <v>1094387</v>
      </c>
      <c r="H191" s="21">
        <v>1192282</v>
      </c>
      <c r="I191" s="21">
        <v>0</v>
      </c>
      <c r="J191" s="9" t="s">
        <v>12</v>
      </c>
      <c r="K191" s="9">
        <v>86.64</v>
      </c>
    </row>
    <row r="192" spans="1:11" x14ac:dyDescent="0.35">
      <c r="A192" s="21">
        <v>2020</v>
      </c>
      <c r="B192" s="21">
        <v>90199</v>
      </c>
      <c r="C192" s="9" t="s">
        <v>22</v>
      </c>
      <c r="D192" s="9" t="s">
        <v>25</v>
      </c>
      <c r="E192" s="9" t="s">
        <v>26</v>
      </c>
      <c r="F192" s="21">
        <v>145468</v>
      </c>
      <c r="G192" s="21">
        <v>1094387</v>
      </c>
      <c r="H192" s="21">
        <v>1192282</v>
      </c>
      <c r="I192" s="21">
        <v>0</v>
      </c>
      <c r="J192" s="9" t="s">
        <v>13</v>
      </c>
      <c r="K192" s="9">
        <v>15.3202</v>
      </c>
    </row>
    <row r="193" spans="1:11" x14ac:dyDescent="0.35">
      <c r="A193" s="21">
        <v>2020</v>
      </c>
      <c r="B193" s="21">
        <v>90199</v>
      </c>
      <c r="C193" s="9" t="s">
        <v>22</v>
      </c>
      <c r="D193" s="9" t="s">
        <v>25</v>
      </c>
      <c r="E193" s="9" t="s">
        <v>26</v>
      </c>
      <c r="F193" s="21">
        <v>145468</v>
      </c>
      <c r="G193" s="21">
        <v>1094387</v>
      </c>
      <c r="H193" s="21">
        <v>1192282</v>
      </c>
      <c r="I193" s="21">
        <v>0</v>
      </c>
      <c r="J193" s="9" t="s">
        <v>14</v>
      </c>
      <c r="K193" s="9">
        <v>137.32</v>
      </c>
    </row>
    <row r="194" spans="1:11" x14ac:dyDescent="0.35">
      <c r="A194" s="21">
        <v>2020</v>
      </c>
      <c r="B194" s="21">
        <v>90199</v>
      </c>
      <c r="C194" s="9" t="s">
        <v>22</v>
      </c>
      <c r="D194" s="9" t="s">
        <v>25</v>
      </c>
      <c r="E194" s="9" t="s">
        <v>26</v>
      </c>
      <c r="F194" s="21">
        <v>145468</v>
      </c>
      <c r="G194" s="21">
        <v>1094387</v>
      </c>
      <c r="H194" s="21">
        <v>1192282</v>
      </c>
      <c r="I194" s="21">
        <v>0</v>
      </c>
      <c r="J194" s="9" t="s">
        <v>45</v>
      </c>
      <c r="K194" s="9">
        <v>1.5850627563066981</v>
      </c>
    </row>
    <row r="195" spans="1:11" x14ac:dyDescent="0.35">
      <c r="A195" s="21">
        <v>2020</v>
      </c>
      <c r="B195" s="21">
        <v>90199</v>
      </c>
      <c r="C195" s="9" t="s">
        <v>22</v>
      </c>
      <c r="D195" s="9" t="s">
        <v>25</v>
      </c>
      <c r="E195" s="9" t="s">
        <v>26</v>
      </c>
      <c r="F195" s="21">
        <v>145468</v>
      </c>
      <c r="G195" s="21">
        <v>1094387</v>
      </c>
      <c r="H195" s="21">
        <v>1192282</v>
      </c>
      <c r="I195" s="21">
        <v>0</v>
      </c>
      <c r="J195" s="9" t="s">
        <v>15</v>
      </c>
      <c r="K195" s="9">
        <v>0.17680000000000001</v>
      </c>
    </row>
    <row r="196" spans="1:11" x14ac:dyDescent="0.35">
      <c r="A196" s="21">
        <v>2020</v>
      </c>
      <c r="B196" s="21">
        <v>90199</v>
      </c>
      <c r="C196" s="9" t="s">
        <v>22</v>
      </c>
      <c r="D196" s="9" t="s">
        <v>25</v>
      </c>
      <c r="E196" s="9" t="s">
        <v>26</v>
      </c>
      <c r="F196" s="21">
        <v>145468</v>
      </c>
      <c r="G196" s="21">
        <v>1094387</v>
      </c>
      <c r="H196" s="21">
        <v>1192282</v>
      </c>
      <c r="I196" s="21">
        <v>0</v>
      </c>
      <c r="J196" s="9" t="s">
        <v>16</v>
      </c>
      <c r="K196" s="9">
        <v>3.4964250259944638E-2</v>
      </c>
    </row>
    <row r="197" spans="1:11" x14ac:dyDescent="0.35">
      <c r="A197" s="21">
        <v>2020</v>
      </c>
      <c r="B197" s="21">
        <v>90199</v>
      </c>
      <c r="C197" s="9" t="s">
        <v>22</v>
      </c>
      <c r="D197" s="9" t="s">
        <v>25</v>
      </c>
      <c r="E197" s="9" t="s">
        <v>26</v>
      </c>
      <c r="F197" s="21">
        <v>145468</v>
      </c>
      <c r="G197" s="21">
        <v>1094387</v>
      </c>
      <c r="H197" s="21">
        <v>1192282</v>
      </c>
      <c r="I197" s="21">
        <v>0</v>
      </c>
      <c r="J197" s="9" t="s">
        <v>17</v>
      </c>
      <c r="K197" s="9">
        <v>7.3</v>
      </c>
    </row>
    <row r="198" spans="1:11" x14ac:dyDescent="0.35">
      <c r="A198" s="21">
        <v>2021</v>
      </c>
      <c r="B198" s="21">
        <v>90199</v>
      </c>
      <c r="C198" s="9" t="s">
        <v>22</v>
      </c>
      <c r="D198" s="9" t="s">
        <v>23</v>
      </c>
      <c r="E198" s="9" t="s">
        <v>24</v>
      </c>
      <c r="F198" s="21">
        <v>25330</v>
      </c>
      <c r="G198" s="21">
        <v>1270464</v>
      </c>
      <c r="H198" s="21">
        <v>1097845</v>
      </c>
      <c r="I198" s="21">
        <v>0</v>
      </c>
      <c r="J198" s="9" t="s">
        <v>5</v>
      </c>
      <c r="K198" s="9">
        <v>66225</v>
      </c>
    </row>
    <row r="199" spans="1:11" x14ac:dyDescent="0.35">
      <c r="A199" s="21">
        <v>2021</v>
      </c>
      <c r="B199" s="21">
        <v>90199</v>
      </c>
      <c r="C199" s="9" t="s">
        <v>22</v>
      </c>
      <c r="D199" s="9" t="s">
        <v>23</v>
      </c>
      <c r="E199" s="9" t="s">
        <v>24</v>
      </c>
      <c r="F199" s="21">
        <v>25330</v>
      </c>
      <c r="G199" s="21">
        <v>1270464</v>
      </c>
      <c r="H199" s="21">
        <v>1097845</v>
      </c>
      <c r="I199" s="21">
        <v>0</v>
      </c>
      <c r="J199" s="9" t="s">
        <v>6</v>
      </c>
      <c r="K199" s="9">
        <v>1377788</v>
      </c>
    </row>
    <row r="200" spans="1:11" x14ac:dyDescent="0.35">
      <c r="A200" s="21">
        <v>2021</v>
      </c>
      <c r="B200" s="21">
        <v>90199</v>
      </c>
      <c r="C200" s="9" t="s">
        <v>22</v>
      </c>
      <c r="D200" s="9" t="s">
        <v>23</v>
      </c>
      <c r="E200" s="9" t="s">
        <v>24</v>
      </c>
      <c r="F200" s="21">
        <v>25330</v>
      </c>
      <c r="G200" s="21">
        <v>1270464</v>
      </c>
      <c r="H200" s="21">
        <v>1097845</v>
      </c>
      <c r="I200" s="21">
        <v>0</v>
      </c>
      <c r="J200" s="9" t="s">
        <v>7</v>
      </c>
      <c r="K200" s="9">
        <v>0</v>
      </c>
    </row>
    <row r="201" spans="1:11" x14ac:dyDescent="0.35">
      <c r="A201" s="21">
        <v>2021</v>
      </c>
      <c r="B201" s="21">
        <v>90199</v>
      </c>
      <c r="C201" s="9" t="s">
        <v>22</v>
      </c>
      <c r="D201" s="9" t="s">
        <v>23</v>
      </c>
      <c r="E201" s="9" t="s">
        <v>24</v>
      </c>
      <c r="F201" s="21">
        <v>25330</v>
      </c>
      <c r="G201" s="21">
        <v>1270464</v>
      </c>
      <c r="H201" s="21">
        <v>1097845</v>
      </c>
      <c r="I201" s="21">
        <v>0</v>
      </c>
      <c r="J201" s="9" t="s">
        <v>8</v>
      </c>
      <c r="K201" s="9">
        <v>212951</v>
      </c>
    </row>
    <row r="202" spans="1:11" x14ac:dyDescent="0.35">
      <c r="A202" s="21">
        <v>2021</v>
      </c>
      <c r="B202" s="21">
        <v>90199</v>
      </c>
      <c r="C202" s="9" t="s">
        <v>22</v>
      </c>
      <c r="D202" s="9" t="s">
        <v>23</v>
      </c>
      <c r="E202" s="9" t="s">
        <v>24</v>
      </c>
      <c r="F202" s="21">
        <v>25330</v>
      </c>
      <c r="G202" s="21">
        <v>1270464</v>
      </c>
      <c r="H202" s="21">
        <v>1097845</v>
      </c>
      <c r="I202" s="21">
        <v>0</v>
      </c>
      <c r="J202" s="9" t="s">
        <v>9</v>
      </c>
      <c r="K202" s="9">
        <v>16171</v>
      </c>
    </row>
    <row r="203" spans="1:11" x14ac:dyDescent="0.35">
      <c r="A203" s="21">
        <v>2021</v>
      </c>
      <c r="B203" s="21">
        <v>90199</v>
      </c>
      <c r="C203" s="9" t="s">
        <v>22</v>
      </c>
      <c r="D203" s="9" t="s">
        <v>23</v>
      </c>
      <c r="E203" s="9" t="s">
        <v>24</v>
      </c>
      <c r="F203" s="21">
        <v>25330</v>
      </c>
      <c r="G203" s="21">
        <v>1270464</v>
      </c>
      <c r="H203" s="21">
        <v>1097845</v>
      </c>
      <c r="I203" s="21">
        <v>0</v>
      </c>
      <c r="J203" s="9" t="s">
        <v>10</v>
      </c>
      <c r="K203" s="9">
        <v>55734</v>
      </c>
    </row>
    <row r="204" spans="1:11" x14ac:dyDescent="0.35">
      <c r="A204" s="21">
        <v>2021</v>
      </c>
      <c r="B204" s="21">
        <v>90199</v>
      </c>
      <c r="C204" s="9" t="s">
        <v>22</v>
      </c>
      <c r="D204" s="9" t="s">
        <v>23</v>
      </c>
      <c r="E204" s="9" t="s">
        <v>24</v>
      </c>
      <c r="F204" s="21">
        <v>25330</v>
      </c>
      <c r="G204" s="21">
        <v>1270464</v>
      </c>
      <c r="H204" s="21">
        <v>1097845</v>
      </c>
      <c r="I204" s="21">
        <v>0</v>
      </c>
      <c r="J204" s="9" t="s">
        <v>11</v>
      </c>
      <c r="K204" s="9">
        <v>13</v>
      </c>
    </row>
    <row r="205" spans="1:11" x14ac:dyDescent="0.35">
      <c r="A205" s="21">
        <v>2021</v>
      </c>
      <c r="B205" s="21">
        <v>90199</v>
      </c>
      <c r="C205" s="9" t="s">
        <v>22</v>
      </c>
      <c r="D205" s="9" t="s">
        <v>23</v>
      </c>
      <c r="E205" s="9" t="s">
        <v>24</v>
      </c>
      <c r="F205" s="21">
        <v>25330</v>
      </c>
      <c r="G205" s="21">
        <v>1270464</v>
      </c>
      <c r="H205" s="21">
        <v>1097845</v>
      </c>
      <c r="I205" s="21">
        <v>0</v>
      </c>
      <c r="J205" s="9" t="s">
        <v>12</v>
      </c>
      <c r="K205" s="9">
        <v>24.72</v>
      </c>
    </row>
    <row r="206" spans="1:11" x14ac:dyDescent="0.35">
      <c r="A206" s="21">
        <v>2021</v>
      </c>
      <c r="B206" s="21">
        <v>90199</v>
      </c>
      <c r="C206" s="9" t="s">
        <v>22</v>
      </c>
      <c r="D206" s="9" t="s">
        <v>23</v>
      </c>
      <c r="E206" s="9" t="s">
        <v>24</v>
      </c>
      <c r="F206" s="21">
        <v>25330</v>
      </c>
      <c r="G206" s="21">
        <v>1270464</v>
      </c>
      <c r="H206" s="21">
        <v>1097845</v>
      </c>
      <c r="I206" s="21">
        <v>0</v>
      </c>
      <c r="J206" s="9" t="s">
        <v>13</v>
      </c>
      <c r="K206" s="9">
        <v>6.47</v>
      </c>
    </row>
    <row r="207" spans="1:11" x14ac:dyDescent="0.35">
      <c r="A207" s="21">
        <v>2021</v>
      </c>
      <c r="B207" s="21">
        <v>90199</v>
      </c>
      <c r="C207" s="9" t="s">
        <v>22</v>
      </c>
      <c r="D207" s="9" t="s">
        <v>23</v>
      </c>
      <c r="E207" s="9" t="s">
        <v>24</v>
      </c>
      <c r="F207" s="21">
        <v>25330</v>
      </c>
      <c r="G207" s="21">
        <v>1270464</v>
      </c>
      <c r="H207" s="21">
        <v>1097845</v>
      </c>
      <c r="I207" s="21">
        <v>0</v>
      </c>
      <c r="J207" s="9" t="s">
        <v>14</v>
      </c>
      <c r="K207" s="9">
        <v>85.2</v>
      </c>
    </row>
    <row r="208" spans="1:11" x14ac:dyDescent="0.35">
      <c r="A208" s="21">
        <v>2021</v>
      </c>
      <c r="B208" s="21">
        <v>90199</v>
      </c>
      <c r="C208" s="9" t="s">
        <v>22</v>
      </c>
      <c r="D208" s="9" t="s">
        <v>23</v>
      </c>
      <c r="E208" s="9" t="s">
        <v>24</v>
      </c>
      <c r="F208" s="21">
        <v>25330</v>
      </c>
      <c r="G208" s="21">
        <v>1270464</v>
      </c>
      <c r="H208" s="21">
        <v>1097845</v>
      </c>
      <c r="I208" s="21">
        <v>0</v>
      </c>
      <c r="J208" s="9" t="s">
        <v>45</v>
      </c>
      <c r="K208" s="9">
        <v>3.446540102652897</v>
      </c>
    </row>
    <row r="209" spans="1:11" x14ac:dyDescent="0.35">
      <c r="A209" s="21">
        <v>2021</v>
      </c>
      <c r="B209" s="21">
        <v>90199</v>
      </c>
      <c r="C209" s="9" t="s">
        <v>22</v>
      </c>
      <c r="D209" s="9" t="s">
        <v>23</v>
      </c>
      <c r="E209" s="9" t="s">
        <v>24</v>
      </c>
      <c r="F209" s="21">
        <v>25330</v>
      </c>
      <c r="G209" s="21">
        <v>1270464</v>
      </c>
      <c r="H209" s="21">
        <v>1097845</v>
      </c>
      <c r="I209" s="21">
        <v>0</v>
      </c>
      <c r="J209" s="9" t="s">
        <v>15</v>
      </c>
      <c r="K209" s="9">
        <v>0.26169999999999999</v>
      </c>
    </row>
    <row r="210" spans="1:11" x14ac:dyDescent="0.35">
      <c r="A210" s="21">
        <v>2021</v>
      </c>
      <c r="B210" s="21">
        <v>90199</v>
      </c>
      <c r="C210" s="9" t="s">
        <v>22</v>
      </c>
      <c r="D210" s="9" t="s">
        <v>23</v>
      </c>
      <c r="E210" s="9" t="s">
        <v>24</v>
      </c>
      <c r="F210" s="21">
        <v>25330</v>
      </c>
      <c r="G210" s="21">
        <v>1270464</v>
      </c>
      <c r="H210" s="21">
        <v>1097845</v>
      </c>
      <c r="I210" s="21">
        <v>0</v>
      </c>
      <c r="J210" s="9" t="s">
        <v>16</v>
      </c>
      <c r="K210" s="9">
        <v>0</v>
      </c>
    </row>
    <row r="211" spans="1:11" x14ac:dyDescent="0.35">
      <c r="A211" s="21">
        <v>2021</v>
      </c>
      <c r="B211" s="21">
        <v>90199</v>
      </c>
      <c r="C211" s="9" t="s">
        <v>22</v>
      </c>
      <c r="D211" s="9" t="s">
        <v>23</v>
      </c>
      <c r="E211" s="9" t="s">
        <v>24</v>
      </c>
      <c r="F211" s="21">
        <v>25330</v>
      </c>
      <c r="G211" s="21">
        <v>1270464</v>
      </c>
      <c r="H211" s="21">
        <v>1097845</v>
      </c>
      <c r="I211" s="21">
        <v>0</v>
      </c>
      <c r="J211" s="9" t="s">
        <v>17</v>
      </c>
      <c r="K211" s="9">
        <v>4.5</v>
      </c>
    </row>
    <row r="212" spans="1:11" x14ac:dyDescent="0.35">
      <c r="A212" s="21">
        <v>2021</v>
      </c>
      <c r="B212" s="21">
        <v>90199</v>
      </c>
      <c r="C212" s="9" t="s">
        <v>22</v>
      </c>
      <c r="D212" s="9" t="s">
        <v>25</v>
      </c>
      <c r="E212" s="9" t="s">
        <v>26</v>
      </c>
      <c r="F212" s="21">
        <v>25330</v>
      </c>
      <c r="G212" s="21">
        <v>1270464</v>
      </c>
      <c r="H212" s="21">
        <v>1097845</v>
      </c>
      <c r="I212" s="21">
        <v>0</v>
      </c>
      <c r="J212" s="9" t="s">
        <v>5</v>
      </c>
      <c r="K212" s="9">
        <v>66225</v>
      </c>
    </row>
    <row r="213" spans="1:11" x14ac:dyDescent="0.35">
      <c r="A213" s="21">
        <v>2021</v>
      </c>
      <c r="B213" s="21">
        <v>90199</v>
      </c>
      <c r="C213" s="9" t="s">
        <v>22</v>
      </c>
      <c r="D213" s="9" t="s">
        <v>25</v>
      </c>
      <c r="E213" s="9" t="s">
        <v>26</v>
      </c>
      <c r="F213" s="21">
        <v>25330</v>
      </c>
      <c r="G213" s="21">
        <v>1270464</v>
      </c>
      <c r="H213" s="21">
        <v>1097845</v>
      </c>
      <c r="I213" s="21">
        <v>0</v>
      </c>
      <c r="J213" s="9" t="s">
        <v>6</v>
      </c>
      <c r="K213" s="9">
        <v>1015851</v>
      </c>
    </row>
    <row r="214" spans="1:11" x14ac:dyDescent="0.35">
      <c r="A214" s="21">
        <v>2021</v>
      </c>
      <c r="B214" s="21">
        <v>90199</v>
      </c>
      <c r="C214" s="9" t="s">
        <v>22</v>
      </c>
      <c r="D214" s="9" t="s">
        <v>25</v>
      </c>
      <c r="E214" s="9" t="s">
        <v>26</v>
      </c>
      <c r="F214" s="21">
        <v>25330</v>
      </c>
      <c r="G214" s="21">
        <v>1270464</v>
      </c>
      <c r="H214" s="21">
        <v>1097845</v>
      </c>
      <c r="I214" s="21">
        <v>0</v>
      </c>
      <c r="J214" s="9" t="s">
        <v>7</v>
      </c>
      <c r="K214" s="9">
        <v>0</v>
      </c>
    </row>
    <row r="215" spans="1:11" x14ac:dyDescent="0.35">
      <c r="A215" s="21">
        <v>2021</v>
      </c>
      <c r="B215" s="21">
        <v>90199</v>
      </c>
      <c r="C215" s="9" t="s">
        <v>22</v>
      </c>
      <c r="D215" s="9" t="s">
        <v>25</v>
      </c>
      <c r="E215" s="9" t="s">
        <v>26</v>
      </c>
      <c r="F215" s="21">
        <v>25330</v>
      </c>
      <c r="G215" s="21">
        <v>1270464</v>
      </c>
      <c r="H215" s="21">
        <v>1097845</v>
      </c>
      <c r="I215" s="21">
        <v>0</v>
      </c>
      <c r="J215" s="9" t="s">
        <v>8</v>
      </c>
      <c r="K215" s="9">
        <v>30721</v>
      </c>
    </row>
    <row r="216" spans="1:11" x14ac:dyDescent="0.35">
      <c r="A216" s="21">
        <v>2021</v>
      </c>
      <c r="B216" s="21">
        <v>90199</v>
      </c>
      <c r="C216" s="9" t="s">
        <v>22</v>
      </c>
      <c r="D216" s="9" t="s">
        <v>25</v>
      </c>
      <c r="E216" s="9" t="s">
        <v>26</v>
      </c>
      <c r="F216" s="21">
        <v>25330</v>
      </c>
      <c r="G216" s="21">
        <v>1270464</v>
      </c>
      <c r="H216" s="21">
        <v>1097845</v>
      </c>
      <c r="I216" s="21">
        <v>0</v>
      </c>
      <c r="J216" s="9" t="s">
        <v>9</v>
      </c>
      <c r="K216" s="9">
        <v>2996</v>
      </c>
    </row>
    <row r="217" spans="1:11" x14ac:dyDescent="0.35">
      <c r="A217" s="21">
        <v>2021</v>
      </c>
      <c r="B217" s="21">
        <v>90199</v>
      </c>
      <c r="C217" s="9" t="s">
        <v>22</v>
      </c>
      <c r="D217" s="9" t="s">
        <v>25</v>
      </c>
      <c r="E217" s="9" t="s">
        <v>26</v>
      </c>
      <c r="F217" s="21">
        <v>25330</v>
      </c>
      <c r="G217" s="21">
        <v>1270464</v>
      </c>
      <c r="H217" s="21">
        <v>1097845</v>
      </c>
      <c r="I217" s="21">
        <v>0</v>
      </c>
      <c r="J217" s="9" t="s">
        <v>10</v>
      </c>
      <c r="K217" s="9">
        <v>4345</v>
      </c>
    </row>
    <row r="218" spans="1:11" x14ac:dyDescent="0.35">
      <c r="A218" s="21">
        <v>2021</v>
      </c>
      <c r="B218" s="21">
        <v>90199</v>
      </c>
      <c r="C218" s="9" t="s">
        <v>22</v>
      </c>
      <c r="D218" s="9" t="s">
        <v>25</v>
      </c>
      <c r="E218" s="9" t="s">
        <v>26</v>
      </c>
      <c r="F218" s="21">
        <v>25330</v>
      </c>
      <c r="G218" s="21">
        <v>1270464</v>
      </c>
      <c r="H218" s="21">
        <v>1097845</v>
      </c>
      <c r="I218" s="21">
        <v>0</v>
      </c>
      <c r="J218" s="9" t="s">
        <v>11</v>
      </c>
      <c r="K218" s="9">
        <v>6</v>
      </c>
    </row>
    <row r="219" spans="1:11" x14ac:dyDescent="0.35">
      <c r="A219" s="21">
        <v>2021</v>
      </c>
      <c r="B219" s="21">
        <v>90199</v>
      </c>
      <c r="C219" s="9" t="s">
        <v>22</v>
      </c>
      <c r="D219" s="9" t="s">
        <v>25</v>
      </c>
      <c r="E219" s="9" t="s">
        <v>26</v>
      </c>
      <c r="F219" s="21">
        <v>25330</v>
      </c>
      <c r="G219" s="21">
        <v>1270464</v>
      </c>
      <c r="H219" s="21">
        <v>1097845</v>
      </c>
      <c r="I219" s="21">
        <v>0</v>
      </c>
      <c r="J219" s="9" t="s">
        <v>12</v>
      </c>
      <c r="K219" s="9">
        <v>233.8</v>
      </c>
    </row>
    <row r="220" spans="1:11" x14ac:dyDescent="0.35">
      <c r="A220" s="21">
        <v>2021</v>
      </c>
      <c r="B220" s="21">
        <v>90199</v>
      </c>
      <c r="C220" s="9" t="s">
        <v>22</v>
      </c>
      <c r="D220" s="9" t="s">
        <v>25</v>
      </c>
      <c r="E220" s="9" t="s">
        <v>26</v>
      </c>
      <c r="F220" s="21">
        <v>25330</v>
      </c>
      <c r="G220" s="21">
        <v>1270464</v>
      </c>
      <c r="H220" s="21">
        <v>1097845</v>
      </c>
      <c r="I220" s="21">
        <v>0</v>
      </c>
      <c r="J220" s="9" t="s">
        <v>13</v>
      </c>
      <c r="K220" s="9">
        <v>33.067</v>
      </c>
    </row>
    <row r="221" spans="1:11" x14ac:dyDescent="0.35">
      <c r="A221" s="21">
        <v>2021</v>
      </c>
      <c r="B221" s="21">
        <v>90199</v>
      </c>
      <c r="C221" s="9" t="s">
        <v>22</v>
      </c>
      <c r="D221" s="9" t="s">
        <v>25</v>
      </c>
      <c r="E221" s="9" t="s">
        <v>26</v>
      </c>
      <c r="F221" s="21">
        <v>25330</v>
      </c>
      <c r="G221" s="21">
        <v>1270464</v>
      </c>
      <c r="H221" s="21">
        <v>1097845</v>
      </c>
      <c r="I221" s="21">
        <v>0</v>
      </c>
      <c r="J221" s="9" t="s">
        <v>14</v>
      </c>
      <c r="K221" s="9">
        <v>339.07</v>
      </c>
    </row>
    <row r="222" spans="1:11" x14ac:dyDescent="0.35">
      <c r="A222" s="21">
        <v>2021</v>
      </c>
      <c r="B222" s="21">
        <v>90199</v>
      </c>
      <c r="C222" s="9" t="s">
        <v>22</v>
      </c>
      <c r="D222" s="9" t="s">
        <v>25</v>
      </c>
      <c r="E222" s="9" t="s">
        <v>26</v>
      </c>
      <c r="F222" s="21">
        <v>25330</v>
      </c>
      <c r="G222" s="21">
        <v>1270464</v>
      </c>
      <c r="H222" s="21">
        <v>1097845</v>
      </c>
      <c r="I222" s="21">
        <v>0</v>
      </c>
      <c r="J222" s="9" t="s">
        <v>45</v>
      </c>
      <c r="K222" s="9">
        <v>1.4502670226969292</v>
      </c>
    </row>
    <row r="223" spans="1:11" x14ac:dyDescent="0.35">
      <c r="A223" s="21">
        <v>2021</v>
      </c>
      <c r="B223" s="21">
        <v>90199</v>
      </c>
      <c r="C223" s="9" t="s">
        <v>22</v>
      </c>
      <c r="D223" s="9" t="s">
        <v>25</v>
      </c>
      <c r="E223" s="9" t="s">
        <v>26</v>
      </c>
      <c r="F223" s="21">
        <v>25330</v>
      </c>
      <c r="G223" s="21">
        <v>1270464</v>
      </c>
      <c r="H223" s="21">
        <v>1097845</v>
      </c>
      <c r="I223" s="21">
        <v>0</v>
      </c>
      <c r="J223" s="9" t="s">
        <v>15</v>
      </c>
      <c r="K223" s="9">
        <v>0.1414</v>
      </c>
    </row>
    <row r="224" spans="1:11" x14ac:dyDescent="0.35">
      <c r="A224" s="21">
        <v>2021</v>
      </c>
      <c r="B224" s="21">
        <v>90199</v>
      </c>
      <c r="C224" s="9" t="s">
        <v>22</v>
      </c>
      <c r="D224" s="9" t="s">
        <v>25</v>
      </c>
      <c r="E224" s="9" t="s">
        <v>26</v>
      </c>
      <c r="F224" s="21">
        <v>25330</v>
      </c>
      <c r="G224" s="21">
        <v>1270464</v>
      </c>
      <c r="H224" s="21">
        <v>1097845</v>
      </c>
      <c r="I224" s="21">
        <v>0</v>
      </c>
      <c r="J224" s="9" t="s">
        <v>16</v>
      </c>
      <c r="K224" s="9">
        <v>0</v>
      </c>
    </row>
    <row r="225" spans="1:11" x14ac:dyDescent="0.35">
      <c r="A225" s="21">
        <v>2021</v>
      </c>
      <c r="B225" s="21">
        <v>90199</v>
      </c>
      <c r="C225" s="9" t="s">
        <v>22</v>
      </c>
      <c r="D225" s="9" t="s">
        <v>25</v>
      </c>
      <c r="E225" s="9" t="s">
        <v>26</v>
      </c>
      <c r="F225" s="21">
        <v>25330</v>
      </c>
      <c r="G225" s="21">
        <v>1270464</v>
      </c>
      <c r="H225" s="21">
        <v>1097845</v>
      </c>
      <c r="I225" s="21">
        <v>0</v>
      </c>
      <c r="J225" s="9" t="s">
        <v>17</v>
      </c>
      <c r="K225" s="9">
        <v>7.5</v>
      </c>
    </row>
    <row r="226" spans="1:11" x14ac:dyDescent="0.35">
      <c r="A226" s="21">
        <v>2022</v>
      </c>
      <c r="B226" s="21">
        <v>90199</v>
      </c>
      <c r="C226" s="9" t="s">
        <v>22</v>
      </c>
      <c r="D226" s="9" t="s">
        <v>23</v>
      </c>
      <c r="E226" s="9" t="s">
        <v>24</v>
      </c>
      <c r="F226" s="21">
        <v>37641</v>
      </c>
      <c r="G226" s="21">
        <v>2619708</v>
      </c>
      <c r="H226" s="21">
        <v>204038</v>
      </c>
      <c r="I226" s="21">
        <v>0</v>
      </c>
      <c r="J226" s="9" t="s">
        <v>5</v>
      </c>
      <c r="K226" s="9">
        <v>66225</v>
      </c>
    </row>
    <row r="227" spans="1:11" x14ac:dyDescent="0.35">
      <c r="A227" s="21">
        <v>2022</v>
      </c>
      <c r="B227" s="21">
        <v>90199</v>
      </c>
      <c r="C227" s="9" t="s">
        <v>22</v>
      </c>
      <c r="D227" s="9" t="s">
        <v>23</v>
      </c>
      <c r="E227" s="9" t="s">
        <v>24</v>
      </c>
      <c r="F227" s="21">
        <v>37641</v>
      </c>
      <c r="G227" s="21">
        <v>2619708</v>
      </c>
      <c r="H227" s="21">
        <v>204038</v>
      </c>
      <c r="I227" s="21">
        <v>0</v>
      </c>
      <c r="J227" s="9" t="s">
        <v>6</v>
      </c>
      <c r="K227" s="9">
        <v>1681016</v>
      </c>
    </row>
    <row r="228" spans="1:11" x14ac:dyDescent="0.35">
      <c r="A228" s="21">
        <v>2022</v>
      </c>
      <c r="B228" s="21">
        <v>90199</v>
      </c>
      <c r="C228" s="9" t="s">
        <v>22</v>
      </c>
      <c r="D228" s="9" t="s">
        <v>23</v>
      </c>
      <c r="E228" s="9" t="s">
        <v>24</v>
      </c>
      <c r="F228" s="21">
        <v>37641</v>
      </c>
      <c r="G228" s="21">
        <v>2619708</v>
      </c>
      <c r="H228" s="21">
        <v>204038</v>
      </c>
      <c r="I228" s="21">
        <v>0</v>
      </c>
      <c r="J228" s="9" t="s">
        <v>7</v>
      </c>
      <c r="K228" s="9">
        <v>0</v>
      </c>
    </row>
    <row r="229" spans="1:11" x14ac:dyDescent="0.35">
      <c r="A229" s="21">
        <v>2022</v>
      </c>
      <c r="B229" s="21">
        <v>90199</v>
      </c>
      <c r="C229" s="9" t="s">
        <v>22</v>
      </c>
      <c r="D229" s="9" t="s">
        <v>23</v>
      </c>
      <c r="E229" s="9" t="s">
        <v>24</v>
      </c>
      <c r="F229" s="21">
        <v>37641</v>
      </c>
      <c r="G229" s="21">
        <v>2619708</v>
      </c>
      <c r="H229" s="21">
        <v>204038</v>
      </c>
      <c r="I229" s="21">
        <v>0</v>
      </c>
      <c r="J229" s="9" t="s">
        <v>8</v>
      </c>
      <c r="K229" s="9">
        <v>182317</v>
      </c>
    </row>
    <row r="230" spans="1:11" x14ac:dyDescent="0.35">
      <c r="A230" s="21">
        <v>2022</v>
      </c>
      <c r="B230" s="21">
        <v>90199</v>
      </c>
      <c r="C230" s="9" t="s">
        <v>22</v>
      </c>
      <c r="D230" s="9" t="s">
        <v>23</v>
      </c>
      <c r="E230" s="9" t="s">
        <v>24</v>
      </c>
      <c r="F230" s="21">
        <v>37641</v>
      </c>
      <c r="G230" s="21">
        <v>2619708</v>
      </c>
      <c r="H230" s="21">
        <v>204038</v>
      </c>
      <c r="I230" s="21">
        <v>0</v>
      </c>
      <c r="J230" s="9" t="s">
        <v>9</v>
      </c>
      <c r="K230" s="9">
        <v>11824</v>
      </c>
    </row>
    <row r="231" spans="1:11" x14ac:dyDescent="0.35">
      <c r="A231" s="21">
        <v>2022</v>
      </c>
      <c r="B231" s="21">
        <v>90199</v>
      </c>
      <c r="C231" s="9" t="s">
        <v>22</v>
      </c>
      <c r="D231" s="9" t="s">
        <v>23</v>
      </c>
      <c r="E231" s="9" t="s">
        <v>24</v>
      </c>
      <c r="F231" s="21">
        <v>37641</v>
      </c>
      <c r="G231" s="21">
        <v>2619708</v>
      </c>
      <c r="H231" s="21">
        <v>204038</v>
      </c>
      <c r="I231" s="21">
        <v>0</v>
      </c>
      <c r="J231" s="9" t="s">
        <v>10</v>
      </c>
      <c r="K231" s="9">
        <v>45912</v>
      </c>
    </row>
    <row r="232" spans="1:11" x14ac:dyDescent="0.35">
      <c r="A232" s="21">
        <v>2022</v>
      </c>
      <c r="B232" s="21">
        <v>90199</v>
      </c>
      <c r="C232" s="9" t="s">
        <v>22</v>
      </c>
      <c r="D232" s="9" t="s">
        <v>23</v>
      </c>
      <c r="E232" s="9" t="s">
        <v>24</v>
      </c>
      <c r="F232" s="21">
        <v>37641</v>
      </c>
      <c r="G232" s="21">
        <v>2619708</v>
      </c>
      <c r="H232" s="21">
        <v>204038</v>
      </c>
      <c r="I232" s="21">
        <v>0</v>
      </c>
      <c r="J232" s="9" t="s">
        <v>11</v>
      </c>
      <c r="K232" s="9">
        <v>13</v>
      </c>
    </row>
    <row r="233" spans="1:11" x14ac:dyDescent="0.35">
      <c r="A233" s="21">
        <v>2022</v>
      </c>
      <c r="B233" s="21">
        <v>90199</v>
      </c>
      <c r="C233" s="9" t="s">
        <v>22</v>
      </c>
      <c r="D233" s="9" t="s">
        <v>23</v>
      </c>
      <c r="E233" s="9" t="s">
        <v>24</v>
      </c>
      <c r="F233" s="21">
        <v>37641</v>
      </c>
      <c r="G233" s="21">
        <v>2619708</v>
      </c>
      <c r="H233" s="21">
        <v>204038</v>
      </c>
      <c r="I233" s="21">
        <v>0</v>
      </c>
      <c r="J233" s="9" t="s">
        <v>12</v>
      </c>
      <c r="K233" s="9">
        <v>36.61</v>
      </c>
    </row>
    <row r="234" spans="1:11" x14ac:dyDescent="0.35">
      <c r="A234" s="21">
        <v>2022</v>
      </c>
      <c r="B234" s="21">
        <v>90199</v>
      </c>
      <c r="C234" s="9" t="s">
        <v>22</v>
      </c>
      <c r="D234" s="9" t="s">
        <v>23</v>
      </c>
      <c r="E234" s="9" t="s">
        <v>24</v>
      </c>
      <c r="F234" s="21">
        <v>37641</v>
      </c>
      <c r="G234" s="21">
        <v>2619708</v>
      </c>
      <c r="H234" s="21">
        <v>204038</v>
      </c>
      <c r="I234" s="21">
        <v>0</v>
      </c>
      <c r="J234" s="9" t="s">
        <v>13</v>
      </c>
      <c r="K234" s="9">
        <v>9.2202999999999999</v>
      </c>
    </row>
    <row r="235" spans="1:11" x14ac:dyDescent="0.35">
      <c r="A235" s="21">
        <v>2022</v>
      </c>
      <c r="B235" s="21">
        <v>90199</v>
      </c>
      <c r="C235" s="9" t="s">
        <v>22</v>
      </c>
      <c r="D235" s="9" t="s">
        <v>23</v>
      </c>
      <c r="E235" s="9" t="s">
        <v>24</v>
      </c>
      <c r="F235" s="21">
        <v>37641</v>
      </c>
      <c r="G235" s="21">
        <v>2619708</v>
      </c>
      <c r="H235" s="21">
        <v>204038</v>
      </c>
      <c r="I235" s="21">
        <v>0</v>
      </c>
      <c r="J235" s="9" t="s">
        <v>14</v>
      </c>
      <c r="K235" s="9">
        <v>142.16999999999999</v>
      </c>
    </row>
    <row r="236" spans="1:11" x14ac:dyDescent="0.35">
      <c r="A236" s="21">
        <v>2022</v>
      </c>
      <c r="B236" s="21">
        <v>90199</v>
      </c>
      <c r="C236" s="9" t="s">
        <v>22</v>
      </c>
      <c r="D236" s="9" t="s">
        <v>23</v>
      </c>
      <c r="E236" s="9" t="s">
        <v>24</v>
      </c>
      <c r="F236" s="21">
        <v>37641</v>
      </c>
      <c r="G236" s="21">
        <v>2619708</v>
      </c>
      <c r="H236" s="21">
        <v>204038</v>
      </c>
      <c r="I236" s="21">
        <v>0</v>
      </c>
      <c r="J236" s="9" t="s">
        <v>45</v>
      </c>
      <c r="K236" s="9">
        <v>3.8829499323410013</v>
      </c>
    </row>
    <row r="237" spans="1:11" x14ac:dyDescent="0.35">
      <c r="A237" s="21">
        <v>2022</v>
      </c>
      <c r="B237" s="21">
        <v>90199</v>
      </c>
      <c r="C237" s="9" t="s">
        <v>22</v>
      </c>
      <c r="D237" s="9" t="s">
        <v>23</v>
      </c>
      <c r="E237" s="9" t="s">
        <v>24</v>
      </c>
      <c r="F237" s="21">
        <v>37641</v>
      </c>
      <c r="G237" s="21">
        <v>2619708</v>
      </c>
      <c r="H237" s="21">
        <v>204038</v>
      </c>
      <c r="I237" s="21">
        <v>0</v>
      </c>
      <c r="J237" s="9" t="s">
        <v>15</v>
      </c>
      <c r="K237" s="9">
        <v>0.25180000000000002</v>
      </c>
    </row>
    <row r="238" spans="1:11" x14ac:dyDescent="0.35">
      <c r="A238" s="21">
        <v>2022</v>
      </c>
      <c r="B238" s="21">
        <v>90199</v>
      </c>
      <c r="C238" s="9" t="s">
        <v>22</v>
      </c>
      <c r="D238" s="9" t="s">
        <v>23</v>
      </c>
      <c r="E238" s="9" t="s">
        <v>24</v>
      </c>
      <c r="F238" s="21">
        <v>37641</v>
      </c>
      <c r="G238" s="21">
        <v>2619708</v>
      </c>
      <c r="H238" s="21">
        <v>204038</v>
      </c>
      <c r="I238" s="21">
        <v>0</v>
      </c>
      <c r="J238" s="9" t="s">
        <v>16</v>
      </c>
      <c r="K238" s="9">
        <v>0</v>
      </c>
    </row>
    <row r="239" spans="1:11" x14ac:dyDescent="0.35">
      <c r="A239" s="21">
        <v>2022</v>
      </c>
      <c r="B239" s="21">
        <v>90199</v>
      </c>
      <c r="C239" s="9" t="s">
        <v>22</v>
      </c>
      <c r="D239" s="9" t="s">
        <v>23</v>
      </c>
      <c r="E239" s="9" t="s">
        <v>24</v>
      </c>
      <c r="F239" s="21">
        <v>37641</v>
      </c>
      <c r="G239" s="21">
        <v>2619708</v>
      </c>
      <c r="H239" s="21">
        <v>204038</v>
      </c>
      <c r="I239" s="21">
        <v>0</v>
      </c>
      <c r="J239" s="9" t="s">
        <v>17</v>
      </c>
      <c r="K239" s="9">
        <v>5.5</v>
      </c>
    </row>
    <row r="240" spans="1:11" x14ac:dyDescent="0.35">
      <c r="A240" s="21">
        <v>2022</v>
      </c>
      <c r="B240" s="21">
        <v>90199</v>
      </c>
      <c r="C240" s="9" t="s">
        <v>22</v>
      </c>
      <c r="D240" s="9" t="s">
        <v>25</v>
      </c>
      <c r="E240" s="9" t="s">
        <v>26</v>
      </c>
      <c r="F240" s="21">
        <v>37641</v>
      </c>
      <c r="G240" s="21">
        <v>2619708</v>
      </c>
      <c r="H240" s="21">
        <v>204038</v>
      </c>
      <c r="I240" s="21">
        <v>0</v>
      </c>
      <c r="J240" s="9" t="s">
        <v>5</v>
      </c>
      <c r="K240" s="9">
        <v>66225</v>
      </c>
    </row>
    <row r="241" spans="1:11" x14ac:dyDescent="0.35">
      <c r="A241" s="21">
        <v>2022</v>
      </c>
      <c r="B241" s="21">
        <v>90199</v>
      </c>
      <c r="C241" s="9" t="s">
        <v>22</v>
      </c>
      <c r="D241" s="9" t="s">
        <v>25</v>
      </c>
      <c r="E241" s="9" t="s">
        <v>26</v>
      </c>
      <c r="F241" s="21">
        <v>37641</v>
      </c>
      <c r="G241" s="21">
        <v>2619708</v>
      </c>
      <c r="H241" s="21">
        <v>204038</v>
      </c>
      <c r="I241" s="21">
        <v>0</v>
      </c>
      <c r="J241" s="9" t="s">
        <v>6</v>
      </c>
      <c r="K241" s="9">
        <v>1180371</v>
      </c>
    </row>
    <row r="242" spans="1:11" x14ac:dyDescent="0.35">
      <c r="A242" s="21">
        <v>2022</v>
      </c>
      <c r="B242" s="21">
        <v>90199</v>
      </c>
      <c r="C242" s="9" t="s">
        <v>22</v>
      </c>
      <c r="D242" s="9" t="s">
        <v>25</v>
      </c>
      <c r="E242" s="9" t="s">
        <v>26</v>
      </c>
      <c r="F242" s="21">
        <v>37641</v>
      </c>
      <c r="G242" s="21">
        <v>2619708</v>
      </c>
      <c r="H242" s="21">
        <v>204038</v>
      </c>
      <c r="I242" s="21">
        <v>0</v>
      </c>
      <c r="J242" s="9" t="s">
        <v>7</v>
      </c>
      <c r="K242" s="9">
        <v>0</v>
      </c>
    </row>
    <row r="243" spans="1:11" x14ac:dyDescent="0.35">
      <c r="A243" s="21">
        <v>2022</v>
      </c>
      <c r="B243" s="21">
        <v>90199</v>
      </c>
      <c r="C243" s="9" t="s">
        <v>22</v>
      </c>
      <c r="D243" s="9" t="s">
        <v>25</v>
      </c>
      <c r="E243" s="9" t="s">
        <v>26</v>
      </c>
      <c r="F243" s="21">
        <v>37641</v>
      </c>
      <c r="G243" s="21">
        <v>2619708</v>
      </c>
      <c r="H243" s="21">
        <v>204038</v>
      </c>
      <c r="I243" s="21">
        <v>0</v>
      </c>
      <c r="J243" s="9" t="s">
        <v>8</v>
      </c>
      <c r="K243" s="9">
        <v>62178</v>
      </c>
    </row>
    <row r="244" spans="1:11" x14ac:dyDescent="0.35">
      <c r="A244" s="21">
        <v>2022</v>
      </c>
      <c r="B244" s="21">
        <v>90199</v>
      </c>
      <c r="C244" s="9" t="s">
        <v>22</v>
      </c>
      <c r="D244" s="9" t="s">
        <v>25</v>
      </c>
      <c r="E244" s="9" t="s">
        <v>26</v>
      </c>
      <c r="F244" s="21">
        <v>37641</v>
      </c>
      <c r="G244" s="21">
        <v>2619708</v>
      </c>
      <c r="H244" s="21">
        <v>204038</v>
      </c>
      <c r="I244" s="21">
        <v>0</v>
      </c>
      <c r="J244" s="9" t="s">
        <v>9</v>
      </c>
      <c r="K244" s="9">
        <v>4183</v>
      </c>
    </row>
    <row r="245" spans="1:11" x14ac:dyDescent="0.35">
      <c r="A245" s="21">
        <v>2022</v>
      </c>
      <c r="B245" s="21">
        <v>90199</v>
      </c>
      <c r="C245" s="9" t="s">
        <v>22</v>
      </c>
      <c r="D245" s="9" t="s">
        <v>25</v>
      </c>
      <c r="E245" s="9" t="s">
        <v>26</v>
      </c>
      <c r="F245" s="21">
        <v>37641</v>
      </c>
      <c r="G245" s="21">
        <v>2619708</v>
      </c>
      <c r="H245" s="21">
        <v>204038</v>
      </c>
      <c r="I245" s="21">
        <v>0</v>
      </c>
      <c r="J245" s="9" t="s">
        <v>10</v>
      </c>
      <c r="K245" s="9">
        <v>6252</v>
      </c>
    </row>
    <row r="246" spans="1:11" x14ac:dyDescent="0.35">
      <c r="A246" s="21">
        <v>2022</v>
      </c>
      <c r="B246" s="21">
        <v>90199</v>
      </c>
      <c r="C246" s="9" t="s">
        <v>22</v>
      </c>
      <c r="D246" s="9" t="s">
        <v>25</v>
      </c>
      <c r="E246" s="9" t="s">
        <v>26</v>
      </c>
      <c r="F246" s="21">
        <v>37641</v>
      </c>
      <c r="G246" s="21">
        <v>2619708</v>
      </c>
      <c r="H246" s="21">
        <v>204038</v>
      </c>
      <c r="I246" s="21">
        <v>0</v>
      </c>
      <c r="J246" s="9" t="s">
        <v>11</v>
      </c>
      <c r="K246" s="9">
        <v>6</v>
      </c>
    </row>
    <row r="247" spans="1:11" x14ac:dyDescent="0.35">
      <c r="A247" s="21">
        <v>2022</v>
      </c>
      <c r="B247" s="21">
        <v>90199</v>
      </c>
      <c r="C247" s="9" t="s">
        <v>22</v>
      </c>
      <c r="D247" s="9" t="s">
        <v>25</v>
      </c>
      <c r="E247" s="9" t="s">
        <v>26</v>
      </c>
      <c r="F247" s="21">
        <v>37641</v>
      </c>
      <c r="G247" s="21">
        <v>2619708</v>
      </c>
      <c r="H247" s="21">
        <v>204038</v>
      </c>
      <c r="I247" s="21">
        <v>0</v>
      </c>
      <c r="J247" s="9" t="s">
        <v>12</v>
      </c>
      <c r="K247" s="9">
        <v>188.8</v>
      </c>
    </row>
    <row r="248" spans="1:11" x14ac:dyDescent="0.35">
      <c r="A248" s="21">
        <v>2022</v>
      </c>
      <c r="B248" s="21">
        <v>90199</v>
      </c>
      <c r="C248" s="9" t="s">
        <v>22</v>
      </c>
      <c r="D248" s="9" t="s">
        <v>25</v>
      </c>
      <c r="E248" s="9" t="s">
        <v>26</v>
      </c>
      <c r="F248" s="21">
        <v>37641</v>
      </c>
      <c r="G248" s="21">
        <v>2619708</v>
      </c>
      <c r="H248" s="21">
        <v>204038</v>
      </c>
      <c r="I248" s="21">
        <v>0</v>
      </c>
      <c r="J248" s="9" t="s">
        <v>13</v>
      </c>
      <c r="K248" s="9">
        <v>18.983699999999999</v>
      </c>
    </row>
    <row r="249" spans="1:11" x14ac:dyDescent="0.35">
      <c r="A249" s="21">
        <v>2022</v>
      </c>
      <c r="B249" s="21">
        <v>90199</v>
      </c>
      <c r="C249" s="9" t="s">
        <v>22</v>
      </c>
      <c r="D249" s="9" t="s">
        <v>25</v>
      </c>
      <c r="E249" s="9" t="s">
        <v>26</v>
      </c>
      <c r="F249" s="21">
        <v>37641</v>
      </c>
      <c r="G249" s="21">
        <v>2619708</v>
      </c>
      <c r="H249" s="21">
        <v>204038</v>
      </c>
      <c r="I249" s="21">
        <v>0</v>
      </c>
      <c r="J249" s="9" t="s">
        <v>14</v>
      </c>
      <c r="K249" s="9">
        <v>282.18</v>
      </c>
    </row>
    <row r="250" spans="1:11" x14ac:dyDescent="0.35">
      <c r="A250" s="21">
        <v>2022</v>
      </c>
      <c r="B250" s="21">
        <v>90199</v>
      </c>
      <c r="C250" s="9" t="s">
        <v>22</v>
      </c>
      <c r="D250" s="9" t="s">
        <v>25</v>
      </c>
      <c r="E250" s="9" t="s">
        <v>26</v>
      </c>
      <c r="F250" s="21">
        <v>37641</v>
      </c>
      <c r="G250" s="21">
        <v>2619708</v>
      </c>
      <c r="H250" s="21">
        <v>204038</v>
      </c>
      <c r="I250" s="21">
        <v>0</v>
      </c>
      <c r="J250" s="9" t="s">
        <v>45</v>
      </c>
      <c r="K250" s="9">
        <v>1.4946210853454458</v>
      </c>
    </row>
    <row r="251" spans="1:11" x14ac:dyDescent="0.35">
      <c r="A251" s="21">
        <v>2022</v>
      </c>
      <c r="B251" s="21">
        <v>90199</v>
      </c>
      <c r="C251" s="9" t="s">
        <v>22</v>
      </c>
      <c r="D251" s="9" t="s">
        <v>25</v>
      </c>
      <c r="E251" s="9" t="s">
        <v>26</v>
      </c>
      <c r="F251" s="21">
        <v>37641</v>
      </c>
      <c r="G251" s="21">
        <v>2619708</v>
      </c>
      <c r="H251" s="21">
        <v>204038</v>
      </c>
      <c r="I251" s="21">
        <v>0</v>
      </c>
      <c r="J251" s="9" t="s">
        <v>15</v>
      </c>
      <c r="K251" s="9">
        <v>0.10059999999999999</v>
      </c>
    </row>
    <row r="252" spans="1:11" x14ac:dyDescent="0.35">
      <c r="A252" s="21">
        <v>2022</v>
      </c>
      <c r="B252" s="21">
        <v>90199</v>
      </c>
      <c r="C252" s="9" t="s">
        <v>22</v>
      </c>
      <c r="D252" s="9" t="s">
        <v>25</v>
      </c>
      <c r="E252" s="9" t="s">
        <v>26</v>
      </c>
      <c r="F252" s="21">
        <v>37641</v>
      </c>
      <c r="G252" s="21">
        <v>2619708</v>
      </c>
      <c r="H252" s="21">
        <v>204038</v>
      </c>
      <c r="I252" s="21">
        <v>0</v>
      </c>
      <c r="J252" s="9" t="s">
        <v>16</v>
      </c>
      <c r="K252" s="9">
        <v>0</v>
      </c>
    </row>
    <row r="253" spans="1:11" x14ac:dyDescent="0.35">
      <c r="A253" s="21">
        <v>2022</v>
      </c>
      <c r="B253" s="21">
        <v>90199</v>
      </c>
      <c r="C253" s="9" t="s">
        <v>22</v>
      </c>
      <c r="D253" s="9" t="s">
        <v>25</v>
      </c>
      <c r="E253" s="9" t="s">
        <v>26</v>
      </c>
      <c r="F253" s="21">
        <v>37641</v>
      </c>
      <c r="G253" s="21">
        <v>2619708</v>
      </c>
      <c r="H253" s="21">
        <v>204038</v>
      </c>
      <c r="I253" s="21">
        <v>0</v>
      </c>
      <c r="J253" s="9" t="s">
        <v>17</v>
      </c>
      <c r="K253" s="9">
        <v>8.5</v>
      </c>
    </row>
    <row r="254" spans="1:11" x14ac:dyDescent="0.35">
      <c r="A254" s="21">
        <v>2023</v>
      </c>
      <c r="B254" s="21">
        <v>90199</v>
      </c>
      <c r="C254" s="9" t="s">
        <v>22</v>
      </c>
      <c r="D254" s="9" t="s">
        <v>23</v>
      </c>
      <c r="E254" s="9" t="s">
        <v>24</v>
      </c>
      <c r="F254" s="21">
        <v>32755</v>
      </c>
      <c r="G254" s="21">
        <v>1162309</v>
      </c>
      <c r="H254" s="21">
        <v>1586794</v>
      </c>
      <c r="I254" s="21">
        <v>0</v>
      </c>
      <c r="J254" s="9" t="s">
        <v>5</v>
      </c>
      <c r="K254" s="9">
        <v>66225</v>
      </c>
    </row>
    <row r="255" spans="1:11" x14ac:dyDescent="0.35">
      <c r="A255" s="21">
        <v>2023</v>
      </c>
      <c r="B255" s="21">
        <v>90199</v>
      </c>
      <c r="C255" s="9" t="s">
        <v>22</v>
      </c>
      <c r="D255" s="9" t="s">
        <v>23</v>
      </c>
      <c r="E255" s="9" t="s">
        <v>24</v>
      </c>
      <c r="F255" s="21">
        <v>32755</v>
      </c>
      <c r="G255" s="21">
        <v>1162309</v>
      </c>
      <c r="H255" s="21">
        <v>1586794</v>
      </c>
      <c r="I255" s="21">
        <v>0</v>
      </c>
      <c r="J255" s="9" t="s">
        <v>6</v>
      </c>
      <c r="K255" s="9">
        <v>1584061</v>
      </c>
    </row>
    <row r="256" spans="1:11" x14ac:dyDescent="0.35">
      <c r="A256" s="21">
        <v>2023</v>
      </c>
      <c r="B256" s="21">
        <v>90199</v>
      </c>
      <c r="C256" s="9" t="s">
        <v>22</v>
      </c>
      <c r="D256" s="9" t="s">
        <v>23</v>
      </c>
      <c r="E256" s="9" t="s">
        <v>24</v>
      </c>
      <c r="F256" s="21">
        <v>32755</v>
      </c>
      <c r="G256" s="21">
        <v>1162309</v>
      </c>
      <c r="H256" s="21">
        <v>1586794</v>
      </c>
      <c r="I256" s="21">
        <v>0</v>
      </c>
      <c r="J256" s="9" t="s">
        <v>7</v>
      </c>
      <c r="K256" s="9">
        <v>0</v>
      </c>
    </row>
    <row r="257" spans="1:11" x14ac:dyDescent="0.35">
      <c r="A257" s="21">
        <v>2023</v>
      </c>
      <c r="B257" s="21">
        <v>90199</v>
      </c>
      <c r="C257" s="9" t="s">
        <v>22</v>
      </c>
      <c r="D257" s="9" t="s">
        <v>23</v>
      </c>
      <c r="E257" s="9" t="s">
        <v>24</v>
      </c>
      <c r="F257" s="21">
        <v>32755</v>
      </c>
      <c r="G257" s="21">
        <v>1162309</v>
      </c>
      <c r="H257" s="21">
        <v>1586794</v>
      </c>
      <c r="I257" s="21">
        <v>0</v>
      </c>
      <c r="J257" s="9" t="s">
        <v>8</v>
      </c>
      <c r="K257" s="9">
        <v>203428</v>
      </c>
    </row>
    <row r="258" spans="1:11" x14ac:dyDescent="0.35">
      <c r="A258" s="21">
        <v>2023</v>
      </c>
      <c r="B258" s="21">
        <v>90199</v>
      </c>
      <c r="C258" s="9" t="s">
        <v>22</v>
      </c>
      <c r="D258" s="9" t="s">
        <v>23</v>
      </c>
      <c r="E258" s="9" t="s">
        <v>24</v>
      </c>
      <c r="F258" s="21">
        <v>32755</v>
      </c>
      <c r="G258" s="21">
        <v>1162309</v>
      </c>
      <c r="H258" s="21">
        <v>1586794</v>
      </c>
      <c r="I258" s="21">
        <v>0</v>
      </c>
      <c r="J258" s="9" t="s">
        <v>9</v>
      </c>
      <c r="K258" s="9">
        <v>14126</v>
      </c>
    </row>
    <row r="259" spans="1:11" x14ac:dyDescent="0.35">
      <c r="A259" s="21">
        <v>2023</v>
      </c>
      <c r="B259" s="21">
        <v>90199</v>
      </c>
      <c r="C259" s="9" t="s">
        <v>22</v>
      </c>
      <c r="D259" s="9" t="s">
        <v>23</v>
      </c>
      <c r="E259" s="9" t="s">
        <v>24</v>
      </c>
      <c r="F259" s="21">
        <v>32755</v>
      </c>
      <c r="G259" s="21">
        <v>1162309</v>
      </c>
      <c r="H259" s="21">
        <v>1586794</v>
      </c>
      <c r="I259" s="21">
        <v>0</v>
      </c>
      <c r="J259" s="9" t="s">
        <v>10</v>
      </c>
      <c r="K259" s="9">
        <v>62770</v>
      </c>
    </row>
    <row r="260" spans="1:11" x14ac:dyDescent="0.35">
      <c r="A260" s="21">
        <v>2023</v>
      </c>
      <c r="B260" s="21">
        <v>90199</v>
      </c>
      <c r="C260" s="9" t="s">
        <v>22</v>
      </c>
      <c r="D260" s="9" t="s">
        <v>23</v>
      </c>
      <c r="E260" s="9" t="s">
        <v>24</v>
      </c>
      <c r="F260" s="21">
        <v>32755</v>
      </c>
      <c r="G260" s="21">
        <v>1162309</v>
      </c>
      <c r="H260" s="21">
        <v>1586794</v>
      </c>
      <c r="I260" s="21">
        <v>0</v>
      </c>
      <c r="J260" s="9" t="s">
        <v>11</v>
      </c>
      <c r="K260" s="9">
        <v>11</v>
      </c>
    </row>
    <row r="261" spans="1:11" x14ac:dyDescent="0.35">
      <c r="A261" s="21">
        <v>2023</v>
      </c>
      <c r="B261" s="21">
        <v>90199</v>
      </c>
      <c r="C261" s="9" t="s">
        <v>22</v>
      </c>
      <c r="D261" s="9" t="s">
        <v>23</v>
      </c>
      <c r="E261" s="9" t="s">
        <v>24</v>
      </c>
      <c r="F261" s="21">
        <v>32755</v>
      </c>
      <c r="G261" s="21">
        <v>1162309</v>
      </c>
      <c r="H261" s="21">
        <v>1586794</v>
      </c>
      <c r="I261" s="21">
        <v>0</v>
      </c>
      <c r="J261" s="9" t="s">
        <v>12</v>
      </c>
      <c r="K261" s="9">
        <v>25.24</v>
      </c>
    </row>
    <row r="262" spans="1:11" x14ac:dyDescent="0.35">
      <c r="A262" s="21">
        <v>2023</v>
      </c>
      <c r="B262" s="21">
        <v>90199</v>
      </c>
      <c r="C262" s="9" t="s">
        <v>22</v>
      </c>
      <c r="D262" s="9" t="s">
        <v>23</v>
      </c>
      <c r="E262" s="9" t="s">
        <v>24</v>
      </c>
      <c r="F262" s="21">
        <v>32755</v>
      </c>
      <c r="G262" s="21">
        <v>1162309</v>
      </c>
      <c r="H262" s="21">
        <v>1586794</v>
      </c>
      <c r="I262" s="21">
        <v>0</v>
      </c>
      <c r="J262" s="9" t="s">
        <v>13</v>
      </c>
      <c r="K262" s="9">
        <v>7.7868000000000004</v>
      </c>
    </row>
    <row r="263" spans="1:11" x14ac:dyDescent="0.35">
      <c r="A263" s="21">
        <v>2023</v>
      </c>
      <c r="B263" s="21">
        <v>90199</v>
      </c>
      <c r="C263" s="9" t="s">
        <v>22</v>
      </c>
      <c r="D263" s="9" t="s">
        <v>23</v>
      </c>
      <c r="E263" s="9" t="s">
        <v>24</v>
      </c>
      <c r="F263" s="21">
        <v>32755</v>
      </c>
      <c r="G263" s="21">
        <v>1162309</v>
      </c>
      <c r="H263" s="21">
        <v>1586794</v>
      </c>
      <c r="I263" s="21">
        <v>0</v>
      </c>
      <c r="J263" s="9" t="s">
        <v>14</v>
      </c>
      <c r="K263" s="9">
        <v>112.14</v>
      </c>
    </row>
    <row r="264" spans="1:11" x14ac:dyDescent="0.35">
      <c r="A264" s="21">
        <v>2023</v>
      </c>
      <c r="B264" s="21">
        <v>90199</v>
      </c>
      <c r="C264" s="9" t="s">
        <v>22</v>
      </c>
      <c r="D264" s="9" t="s">
        <v>23</v>
      </c>
      <c r="E264" s="9" t="s">
        <v>24</v>
      </c>
      <c r="F264" s="21">
        <v>32755</v>
      </c>
      <c r="G264" s="21">
        <v>1162309</v>
      </c>
      <c r="H264" s="21">
        <v>1586794</v>
      </c>
      <c r="I264" s="21">
        <v>0</v>
      </c>
      <c r="J264" s="9" t="s">
        <v>45</v>
      </c>
      <c r="K264" s="9">
        <v>4.4435792156307521</v>
      </c>
    </row>
    <row r="265" spans="1:11" x14ac:dyDescent="0.35">
      <c r="A265" s="21">
        <v>2023</v>
      </c>
      <c r="B265" s="21">
        <v>90199</v>
      </c>
      <c r="C265" s="9" t="s">
        <v>22</v>
      </c>
      <c r="D265" s="9" t="s">
        <v>23</v>
      </c>
      <c r="E265" s="9" t="s">
        <v>24</v>
      </c>
      <c r="F265" s="21">
        <v>32755</v>
      </c>
      <c r="G265" s="21">
        <v>1162309</v>
      </c>
      <c r="H265" s="21">
        <v>1586794</v>
      </c>
      <c r="I265" s="21">
        <v>0</v>
      </c>
      <c r="J265" s="9" t="s">
        <v>15</v>
      </c>
      <c r="K265" s="9">
        <v>0.30859999999999999</v>
      </c>
    </row>
    <row r="266" spans="1:11" x14ac:dyDescent="0.35">
      <c r="A266" s="21">
        <v>2023</v>
      </c>
      <c r="B266" s="21">
        <v>90199</v>
      </c>
      <c r="C266" s="9" t="s">
        <v>22</v>
      </c>
      <c r="D266" s="9" t="s">
        <v>23</v>
      </c>
      <c r="E266" s="9" t="s">
        <v>24</v>
      </c>
      <c r="F266" s="21">
        <v>32755</v>
      </c>
      <c r="G266" s="21">
        <v>1162309</v>
      </c>
      <c r="H266" s="21">
        <v>1586794</v>
      </c>
      <c r="I266" s="21">
        <v>0</v>
      </c>
      <c r="J266" s="9" t="s">
        <v>16</v>
      </c>
      <c r="K266" s="9">
        <v>0</v>
      </c>
    </row>
    <row r="267" spans="1:11" x14ac:dyDescent="0.35">
      <c r="A267" s="21">
        <v>2023</v>
      </c>
      <c r="B267" s="21">
        <v>90199</v>
      </c>
      <c r="C267" s="9" t="s">
        <v>22</v>
      </c>
      <c r="D267" s="9" t="s">
        <v>23</v>
      </c>
      <c r="E267" s="9" t="s">
        <v>24</v>
      </c>
      <c r="F267" s="21">
        <v>32755</v>
      </c>
      <c r="G267" s="21">
        <v>1162309</v>
      </c>
      <c r="H267" s="21">
        <v>1586794</v>
      </c>
      <c r="I267" s="21">
        <v>0</v>
      </c>
      <c r="J267" s="9" t="s">
        <v>17</v>
      </c>
      <c r="K267" s="9">
        <v>5.4</v>
      </c>
    </row>
    <row r="268" spans="1:11" x14ac:dyDescent="0.35">
      <c r="A268" s="21">
        <v>2023</v>
      </c>
      <c r="B268" s="21">
        <v>90199</v>
      </c>
      <c r="C268" s="9" t="s">
        <v>22</v>
      </c>
      <c r="D268" s="9" t="s">
        <v>25</v>
      </c>
      <c r="E268" s="9" t="s">
        <v>26</v>
      </c>
      <c r="F268" s="21">
        <v>32755</v>
      </c>
      <c r="G268" s="21">
        <v>1162309</v>
      </c>
      <c r="H268" s="21">
        <v>1586794</v>
      </c>
      <c r="I268" s="21">
        <v>0</v>
      </c>
      <c r="J268" s="9" t="s">
        <v>5</v>
      </c>
      <c r="K268" s="9">
        <v>66225</v>
      </c>
    </row>
    <row r="269" spans="1:11" x14ac:dyDescent="0.35">
      <c r="A269" s="21">
        <v>2023</v>
      </c>
      <c r="B269" s="21">
        <v>90199</v>
      </c>
      <c r="C269" s="9" t="s">
        <v>22</v>
      </c>
      <c r="D269" s="9" t="s">
        <v>25</v>
      </c>
      <c r="E269" s="9" t="s">
        <v>26</v>
      </c>
      <c r="F269" s="21">
        <v>32755</v>
      </c>
      <c r="G269" s="21">
        <v>1162309</v>
      </c>
      <c r="H269" s="21">
        <v>1586794</v>
      </c>
      <c r="I269" s="21">
        <v>0</v>
      </c>
      <c r="J269" s="9" t="s">
        <v>6</v>
      </c>
      <c r="K269" s="9">
        <v>1197797</v>
      </c>
    </row>
    <row r="270" spans="1:11" x14ac:dyDescent="0.35">
      <c r="A270" s="21">
        <v>2023</v>
      </c>
      <c r="B270" s="21">
        <v>90199</v>
      </c>
      <c r="C270" s="9" t="s">
        <v>22</v>
      </c>
      <c r="D270" s="9" t="s">
        <v>25</v>
      </c>
      <c r="E270" s="9" t="s">
        <v>26</v>
      </c>
      <c r="F270" s="21">
        <v>32755</v>
      </c>
      <c r="G270" s="21">
        <v>1162309</v>
      </c>
      <c r="H270" s="21">
        <v>1586794</v>
      </c>
      <c r="I270" s="21">
        <v>0</v>
      </c>
      <c r="J270" s="9" t="s">
        <v>7</v>
      </c>
      <c r="K270" s="9">
        <v>904</v>
      </c>
    </row>
    <row r="271" spans="1:11" x14ac:dyDescent="0.35">
      <c r="A271" s="21">
        <v>2023</v>
      </c>
      <c r="B271" s="21">
        <v>90199</v>
      </c>
      <c r="C271" s="9" t="s">
        <v>22</v>
      </c>
      <c r="D271" s="9" t="s">
        <v>25</v>
      </c>
      <c r="E271" s="9" t="s">
        <v>26</v>
      </c>
      <c r="F271" s="21">
        <v>32755</v>
      </c>
      <c r="G271" s="21">
        <v>1162309</v>
      </c>
      <c r="H271" s="21">
        <v>1586794</v>
      </c>
      <c r="I271" s="21">
        <v>0</v>
      </c>
      <c r="J271" s="9" t="s">
        <v>8</v>
      </c>
      <c r="K271" s="9">
        <v>80387</v>
      </c>
    </row>
    <row r="272" spans="1:11" x14ac:dyDescent="0.35">
      <c r="A272" s="21">
        <v>2023</v>
      </c>
      <c r="B272" s="21">
        <v>90199</v>
      </c>
      <c r="C272" s="9" t="s">
        <v>22</v>
      </c>
      <c r="D272" s="9" t="s">
        <v>25</v>
      </c>
      <c r="E272" s="9" t="s">
        <v>26</v>
      </c>
      <c r="F272" s="21">
        <v>32755</v>
      </c>
      <c r="G272" s="21">
        <v>1162309</v>
      </c>
      <c r="H272" s="21">
        <v>1586794</v>
      </c>
      <c r="I272" s="21">
        <v>0</v>
      </c>
      <c r="J272" s="9" t="s">
        <v>9</v>
      </c>
      <c r="K272" s="9">
        <v>5760</v>
      </c>
    </row>
    <row r="273" spans="1:11" x14ac:dyDescent="0.35">
      <c r="A273" s="21">
        <v>2023</v>
      </c>
      <c r="B273" s="21">
        <v>90199</v>
      </c>
      <c r="C273" s="9" t="s">
        <v>22</v>
      </c>
      <c r="D273" s="9" t="s">
        <v>25</v>
      </c>
      <c r="E273" s="9" t="s">
        <v>26</v>
      </c>
      <c r="F273" s="21">
        <v>32755</v>
      </c>
      <c r="G273" s="21">
        <v>1162309</v>
      </c>
      <c r="H273" s="21">
        <v>1586794</v>
      </c>
      <c r="I273" s="21">
        <v>0</v>
      </c>
      <c r="J273" s="9" t="s">
        <v>10</v>
      </c>
      <c r="K273" s="9">
        <v>13164</v>
      </c>
    </row>
    <row r="274" spans="1:11" x14ac:dyDescent="0.35">
      <c r="A274" s="21">
        <v>2023</v>
      </c>
      <c r="B274" s="21">
        <v>90199</v>
      </c>
      <c r="C274" s="9" t="s">
        <v>22</v>
      </c>
      <c r="D274" s="9" t="s">
        <v>25</v>
      </c>
      <c r="E274" s="9" t="s">
        <v>26</v>
      </c>
      <c r="F274" s="21">
        <v>32755</v>
      </c>
      <c r="G274" s="21">
        <v>1162309</v>
      </c>
      <c r="H274" s="21">
        <v>1586794</v>
      </c>
      <c r="I274" s="21">
        <v>0</v>
      </c>
      <c r="J274" s="9" t="s">
        <v>11</v>
      </c>
      <c r="K274" s="9">
        <v>6</v>
      </c>
    </row>
    <row r="275" spans="1:11" x14ac:dyDescent="0.35">
      <c r="A275" s="21">
        <v>2023</v>
      </c>
      <c r="B275" s="21">
        <v>90199</v>
      </c>
      <c r="C275" s="9" t="s">
        <v>22</v>
      </c>
      <c r="D275" s="9" t="s">
        <v>25</v>
      </c>
      <c r="E275" s="9" t="s">
        <v>26</v>
      </c>
      <c r="F275" s="21">
        <v>32755</v>
      </c>
      <c r="G275" s="21">
        <v>1162309</v>
      </c>
      <c r="H275" s="21">
        <v>1586794</v>
      </c>
      <c r="I275" s="21">
        <v>0</v>
      </c>
      <c r="J275" s="9" t="s">
        <v>12</v>
      </c>
      <c r="K275" s="9">
        <v>90.99</v>
      </c>
    </row>
    <row r="276" spans="1:11" x14ac:dyDescent="0.35">
      <c r="A276" s="21">
        <v>2023</v>
      </c>
      <c r="B276" s="21">
        <v>90199</v>
      </c>
      <c r="C276" s="9" t="s">
        <v>22</v>
      </c>
      <c r="D276" s="9" t="s">
        <v>25</v>
      </c>
      <c r="E276" s="9" t="s">
        <v>26</v>
      </c>
      <c r="F276" s="21">
        <v>32755</v>
      </c>
      <c r="G276" s="21">
        <v>1162309</v>
      </c>
      <c r="H276" s="21">
        <v>1586794</v>
      </c>
      <c r="I276" s="21">
        <v>0</v>
      </c>
      <c r="J276" s="9" t="s">
        <v>13</v>
      </c>
      <c r="K276" s="9">
        <v>14.900399999999999</v>
      </c>
    </row>
    <row r="277" spans="1:11" x14ac:dyDescent="0.35">
      <c r="A277" s="21">
        <v>2023</v>
      </c>
      <c r="B277" s="21">
        <v>90199</v>
      </c>
      <c r="C277" s="9" t="s">
        <v>22</v>
      </c>
      <c r="D277" s="9" t="s">
        <v>25</v>
      </c>
      <c r="E277" s="9" t="s">
        <v>26</v>
      </c>
      <c r="F277" s="21">
        <v>32755</v>
      </c>
      <c r="G277" s="21">
        <v>1162309</v>
      </c>
      <c r="H277" s="21">
        <v>1586794</v>
      </c>
      <c r="I277" s="21">
        <v>0</v>
      </c>
      <c r="J277" s="9" t="s">
        <v>14</v>
      </c>
      <c r="K277" s="9">
        <v>207.95</v>
      </c>
    </row>
    <row r="278" spans="1:11" x14ac:dyDescent="0.35">
      <c r="A278" s="21">
        <v>2023</v>
      </c>
      <c r="B278" s="21">
        <v>90199</v>
      </c>
      <c r="C278" s="9" t="s">
        <v>22</v>
      </c>
      <c r="D278" s="9" t="s">
        <v>25</v>
      </c>
      <c r="E278" s="9" t="s">
        <v>26</v>
      </c>
      <c r="F278" s="21">
        <v>32755</v>
      </c>
      <c r="G278" s="21">
        <v>1162309</v>
      </c>
      <c r="H278" s="21">
        <v>1586794</v>
      </c>
      <c r="I278" s="21">
        <v>0</v>
      </c>
      <c r="J278" s="9" t="s">
        <v>45</v>
      </c>
      <c r="K278" s="9">
        <v>2.2854166666666669</v>
      </c>
    </row>
    <row r="279" spans="1:11" x14ac:dyDescent="0.35">
      <c r="A279" s="21">
        <v>2023</v>
      </c>
      <c r="B279" s="21">
        <v>90199</v>
      </c>
      <c r="C279" s="9" t="s">
        <v>22</v>
      </c>
      <c r="D279" s="9" t="s">
        <v>25</v>
      </c>
      <c r="E279" s="9" t="s">
        <v>26</v>
      </c>
      <c r="F279" s="21">
        <v>32755</v>
      </c>
      <c r="G279" s="21">
        <v>1162309</v>
      </c>
      <c r="H279" s="21">
        <v>1586794</v>
      </c>
      <c r="I279" s="21">
        <v>0</v>
      </c>
      <c r="J279" s="9" t="s">
        <v>15</v>
      </c>
      <c r="K279" s="9">
        <v>0.1638</v>
      </c>
    </row>
    <row r="280" spans="1:11" x14ac:dyDescent="0.35">
      <c r="A280" s="21">
        <v>2023</v>
      </c>
      <c r="B280" s="21">
        <v>90199</v>
      </c>
      <c r="C280" s="9" t="s">
        <v>22</v>
      </c>
      <c r="D280" s="9" t="s">
        <v>25</v>
      </c>
      <c r="E280" s="9" t="s">
        <v>26</v>
      </c>
      <c r="F280" s="21">
        <v>32755</v>
      </c>
      <c r="G280" s="21">
        <v>1162309</v>
      </c>
      <c r="H280" s="21">
        <v>1586794</v>
      </c>
      <c r="I280" s="21">
        <v>0</v>
      </c>
      <c r="J280" s="9" t="s">
        <v>16</v>
      </c>
      <c r="K280" s="9">
        <v>7.5471887139473548E-4</v>
      </c>
    </row>
    <row r="281" spans="1:11" x14ac:dyDescent="0.35">
      <c r="A281" s="21">
        <v>2023</v>
      </c>
      <c r="B281" s="21">
        <v>90199</v>
      </c>
      <c r="C281" s="9" t="s">
        <v>22</v>
      </c>
      <c r="D281" s="9" t="s">
        <v>25</v>
      </c>
      <c r="E281" s="9" t="s">
        <v>26</v>
      </c>
      <c r="F281" s="21">
        <v>32755</v>
      </c>
      <c r="G281" s="21">
        <v>1162309</v>
      </c>
      <c r="H281" s="21">
        <v>1586794</v>
      </c>
      <c r="I281" s="21">
        <v>0</v>
      </c>
      <c r="J281" s="9" t="s">
        <v>17</v>
      </c>
      <c r="K281" s="9">
        <v>9.5</v>
      </c>
    </row>
    <row r="282" spans="1:11" x14ac:dyDescent="0.35">
      <c r="A282" s="21">
        <v>2024</v>
      </c>
      <c r="B282" s="21">
        <v>90199</v>
      </c>
      <c r="C282" s="9" t="s">
        <v>22</v>
      </c>
      <c r="D282" s="9" t="s">
        <v>23</v>
      </c>
      <c r="E282" s="9" t="s">
        <v>24</v>
      </c>
      <c r="F282" s="21">
        <v>37576</v>
      </c>
      <c r="G282" s="21">
        <v>1272285</v>
      </c>
      <c r="H282" s="21">
        <v>1990782</v>
      </c>
      <c r="I282" s="21">
        <v>0</v>
      </c>
      <c r="J282" s="9" t="s">
        <v>5</v>
      </c>
      <c r="K282" s="9">
        <v>66225</v>
      </c>
    </row>
    <row r="283" spans="1:11" x14ac:dyDescent="0.35">
      <c r="A283" s="21">
        <v>2024</v>
      </c>
      <c r="B283" s="21">
        <v>90199</v>
      </c>
      <c r="C283" s="9" t="s">
        <v>22</v>
      </c>
      <c r="D283" s="9" t="s">
        <v>23</v>
      </c>
      <c r="E283" s="9" t="s">
        <v>24</v>
      </c>
      <c r="F283" s="21">
        <v>37576</v>
      </c>
      <c r="G283" s="21">
        <v>1272285</v>
      </c>
      <c r="H283" s="21">
        <v>1990782</v>
      </c>
      <c r="I283" s="21">
        <v>0</v>
      </c>
      <c r="J283" s="9" t="s">
        <v>6</v>
      </c>
      <c r="K283" s="9">
        <v>1949330</v>
      </c>
    </row>
    <row r="284" spans="1:11" x14ac:dyDescent="0.35">
      <c r="A284" s="21">
        <v>2024</v>
      </c>
      <c r="B284" s="21">
        <v>90199</v>
      </c>
      <c r="C284" s="9" t="s">
        <v>22</v>
      </c>
      <c r="D284" s="9" t="s">
        <v>23</v>
      </c>
      <c r="E284" s="9" t="s">
        <v>24</v>
      </c>
      <c r="F284" s="21">
        <v>37576</v>
      </c>
      <c r="G284" s="21">
        <v>1272285</v>
      </c>
      <c r="H284" s="21">
        <v>1990782</v>
      </c>
      <c r="I284" s="21">
        <v>0</v>
      </c>
      <c r="J284" s="9" t="s">
        <v>7</v>
      </c>
      <c r="K284" s="9">
        <v>0</v>
      </c>
    </row>
    <row r="285" spans="1:11" x14ac:dyDescent="0.35">
      <c r="A285" s="21">
        <v>2024</v>
      </c>
      <c r="B285" s="21">
        <v>90199</v>
      </c>
      <c r="C285" s="9" t="s">
        <v>22</v>
      </c>
      <c r="D285" s="9" t="s">
        <v>23</v>
      </c>
      <c r="E285" s="9" t="s">
        <v>24</v>
      </c>
      <c r="F285" s="21">
        <v>37576</v>
      </c>
      <c r="G285" s="21">
        <v>1272285</v>
      </c>
      <c r="H285" s="21">
        <v>1990782</v>
      </c>
      <c r="I285" s="21">
        <v>0</v>
      </c>
      <c r="J285" s="9" t="s">
        <v>8</v>
      </c>
      <c r="K285" s="9">
        <v>253314</v>
      </c>
    </row>
    <row r="286" spans="1:11" x14ac:dyDescent="0.35">
      <c r="A286" s="21">
        <v>2024</v>
      </c>
      <c r="B286" s="21">
        <v>90199</v>
      </c>
      <c r="C286" s="9" t="s">
        <v>22</v>
      </c>
      <c r="D286" s="9" t="s">
        <v>23</v>
      </c>
      <c r="E286" s="9" t="s">
        <v>24</v>
      </c>
      <c r="F286" s="21">
        <v>37576</v>
      </c>
      <c r="G286" s="21">
        <v>1272285</v>
      </c>
      <c r="H286" s="21">
        <v>1990782</v>
      </c>
      <c r="I286" s="21">
        <v>0</v>
      </c>
      <c r="J286" s="9" t="s">
        <v>9</v>
      </c>
      <c r="K286" s="9">
        <v>16823</v>
      </c>
    </row>
    <row r="287" spans="1:11" x14ac:dyDescent="0.35">
      <c r="A287" s="21">
        <v>2024</v>
      </c>
      <c r="B287" s="21">
        <v>90199</v>
      </c>
      <c r="C287" s="9" t="s">
        <v>22</v>
      </c>
      <c r="D287" s="9" t="s">
        <v>23</v>
      </c>
      <c r="E287" s="9" t="s">
        <v>24</v>
      </c>
      <c r="F287" s="21">
        <v>37576</v>
      </c>
      <c r="G287" s="21">
        <v>1272285</v>
      </c>
      <c r="H287" s="21">
        <v>1990782</v>
      </c>
      <c r="I287" s="21">
        <v>0</v>
      </c>
      <c r="J287" s="9" t="s">
        <v>10</v>
      </c>
      <c r="K287" s="9">
        <v>77213</v>
      </c>
    </row>
    <row r="288" spans="1:11" x14ac:dyDescent="0.35">
      <c r="A288" s="21">
        <v>2024</v>
      </c>
      <c r="B288" s="21">
        <v>90199</v>
      </c>
      <c r="C288" s="9" t="s">
        <v>22</v>
      </c>
      <c r="D288" s="9" t="s">
        <v>23</v>
      </c>
      <c r="E288" s="9" t="s">
        <v>24</v>
      </c>
      <c r="F288" s="21">
        <v>37576</v>
      </c>
      <c r="G288" s="21">
        <v>1272285</v>
      </c>
      <c r="H288" s="21">
        <v>1990782</v>
      </c>
      <c r="I288" s="21">
        <v>0</v>
      </c>
      <c r="J288" s="9" t="s">
        <v>11</v>
      </c>
      <c r="K288" s="9">
        <v>14</v>
      </c>
    </row>
    <row r="289" spans="1:11" x14ac:dyDescent="0.35">
      <c r="A289" s="21">
        <v>2024</v>
      </c>
      <c r="B289" s="21">
        <v>90199</v>
      </c>
      <c r="C289" s="9" t="s">
        <v>22</v>
      </c>
      <c r="D289" s="9" t="s">
        <v>23</v>
      </c>
      <c r="E289" s="9" t="s">
        <v>24</v>
      </c>
      <c r="F289" s="21">
        <v>37576</v>
      </c>
      <c r="G289" s="21">
        <v>1272285</v>
      </c>
      <c r="H289" s="21">
        <v>1990782</v>
      </c>
      <c r="I289" s="21">
        <v>0</v>
      </c>
      <c r="J289" s="9" t="s">
        <v>12</v>
      </c>
      <c r="K289" s="9">
        <v>25.25</v>
      </c>
    </row>
    <row r="290" spans="1:11" x14ac:dyDescent="0.35">
      <c r="A290" s="21">
        <v>2024</v>
      </c>
      <c r="B290" s="21">
        <v>90199</v>
      </c>
      <c r="C290" s="9" t="s">
        <v>22</v>
      </c>
      <c r="D290" s="9" t="s">
        <v>23</v>
      </c>
      <c r="E290" s="9" t="s">
        <v>24</v>
      </c>
      <c r="F290" s="21">
        <v>37576</v>
      </c>
      <c r="G290" s="21">
        <v>1272285</v>
      </c>
      <c r="H290" s="21">
        <v>1990782</v>
      </c>
      <c r="I290" s="21">
        <v>0</v>
      </c>
      <c r="J290" s="9" t="s">
        <v>13</v>
      </c>
      <c r="K290" s="9">
        <v>7.6952999999999996</v>
      </c>
    </row>
    <row r="291" spans="1:11" x14ac:dyDescent="0.35">
      <c r="A291" s="21">
        <v>2024</v>
      </c>
      <c r="B291" s="21">
        <v>90199</v>
      </c>
      <c r="C291" s="9" t="s">
        <v>22</v>
      </c>
      <c r="D291" s="9" t="s">
        <v>23</v>
      </c>
      <c r="E291" s="9" t="s">
        <v>24</v>
      </c>
      <c r="F291" s="21">
        <v>37576</v>
      </c>
      <c r="G291" s="21">
        <v>1272285</v>
      </c>
      <c r="H291" s="21">
        <v>1990782</v>
      </c>
      <c r="I291" s="21">
        <v>0</v>
      </c>
      <c r="J291" s="9" t="s">
        <v>14</v>
      </c>
      <c r="K291" s="9">
        <v>115.87</v>
      </c>
    </row>
    <row r="292" spans="1:11" x14ac:dyDescent="0.35">
      <c r="A292" s="21">
        <v>2024</v>
      </c>
      <c r="B292" s="21">
        <v>90199</v>
      </c>
      <c r="C292" s="9" t="s">
        <v>22</v>
      </c>
      <c r="D292" s="9" t="s">
        <v>23</v>
      </c>
      <c r="E292" s="9" t="s">
        <v>24</v>
      </c>
      <c r="F292" s="21">
        <v>37576</v>
      </c>
      <c r="G292" s="21">
        <v>1272285</v>
      </c>
      <c r="H292" s="21">
        <v>1990782</v>
      </c>
      <c r="I292" s="21">
        <v>0</v>
      </c>
      <c r="J292" s="9" t="s">
        <v>45</v>
      </c>
      <c r="K292" s="9">
        <v>4.5897283480948703</v>
      </c>
    </row>
    <row r="293" spans="1:11" x14ac:dyDescent="0.35">
      <c r="A293" s="21">
        <v>2024</v>
      </c>
      <c r="B293" s="21">
        <v>90199</v>
      </c>
      <c r="C293" s="9" t="s">
        <v>22</v>
      </c>
      <c r="D293" s="9" t="s">
        <v>23</v>
      </c>
      <c r="E293" s="9" t="s">
        <v>24</v>
      </c>
      <c r="F293" s="21">
        <v>37576</v>
      </c>
      <c r="G293" s="21">
        <v>1272285</v>
      </c>
      <c r="H293" s="21">
        <v>1990782</v>
      </c>
      <c r="I293" s="21">
        <v>0</v>
      </c>
      <c r="J293" s="9" t="s">
        <v>15</v>
      </c>
      <c r="K293" s="9">
        <v>0.30480000000000002</v>
      </c>
    </row>
    <row r="294" spans="1:11" x14ac:dyDescent="0.35">
      <c r="A294" s="21">
        <v>2024</v>
      </c>
      <c r="B294" s="21">
        <v>90199</v>
      </c>
      <c r="C294" s="9" t="s">
        <v>22</v>
      </c>
      <c r="D294" s="9" t="s">
        <v>23</v>
      </c>
      <c r="E294" s="9" t="s">
        <v>24</v>
      </c>
      <c r="F294" s="21">
        <v>37576</v>
      </c>
      <c r="G294" s="21">
        <v>1272285</v>
      </c>
      <c r="H294" s="21">
        <v>1990782</v>
      </c>
      <c r="I294" s="21">
        <v>0</v>
      </c>
      <c r="J294" s="9" t="s">
        <v>16</v>
      </c>
      <c r="K294" s="9">
        <v>0</v>
      </c>
    </row>
    <row r="295" spans="1:11" x14ac:dyDescent="0.35">
      <c r="A295" s="21">
        <v>2024</v>
      </c>
      <c r="B295" s="21">
        <v>90199</v>
      </c>
      <c r="C295" s="9" t="s">
        <v>22</v>
      </c>
      <c r="D295" s="9" t="s">
        <v>23</v>
      </c>
      <c r="E295" s="9" t="s">
        <v>24</v>
      </c>
      <c r="F295" s="21">
        <v>37576</v>
      </c>
      <c r="G295" s="21">
        <v>1272285</v>
      </c>
      <c r="H295" s="21">
        <v>1990782</v>
      </c>
      <c r="I295" s="21">
        <v>0</v>
      </c>
      <c r="J295" s="9" t="s">
        <v>17</v>
      </c>
      <c r="K295" s="9">
        <v>5.2</v>
      </c>
    </row>
    <row r="296" spans="1:11" x14ac:dyDescent="0.35">
      <c r="A296" s="21">
        <v>2024</v>
      </c>
      <c r="B296" s="21">
        <v>90199</v>
      </c>
      <c r="C296" s="9" t="s">
        <v>22</v>
      </c>
      <c r="D296" s="9" t="s">
        <v>25</v>
      </c>
      <c r="E296" s="9" t="s">
        <v>26</v>
      </c>
      <c r="F296" s="21">
        <v>37576</v>
      </c>
      <c r="G296" s="21">
        <v>1272285</v>
      </c>
      <c r="H296" s="21">
        <v>1990782</v>
      </c>
      <c r="I296" s="21">
        <v>0</v>
      </c>
      <c r="J296" s="9" t="s">
        <v>5</v>
      </c>
      <c r="K296" s="9">
        <v>66225</v>
      </c>
    </row>
    <row r="297" spans="1:11" x14ac:dyDescent="0.35">
      <c r="A297" s="21">
        <v>2024</v>
      </c>
      <c r="B297" s="21">
        <v>90199</v>
      </c>
      <c r="C297" s="9" t="s">
        <v>22</v>
      </c>
      <c r="D297" s="9" t="s">
        <v>25</v>
      </c>
      <c r="E297" s="9" t="s">
        <v>26</v>
      </c>
      <c r="F297" s="21">
        <v>37576</v>
      </c>
      <c r="G297" s="21">
        <v>1272285</v>
      </c>
      <c r="H297" s="21">
        <v>1990782</v>
      </c>
      <c r="I297" s="21">
        <v>0</v>
      </c>
      <c r="J297" s="9" t="s">
        <v>6</v>
      </c>
      <c r="K297" s="9">
        <v>1351313</v>
      </c>
    </row>
    <row r="298" spans="1:11" x14ac:dyDescent="0.35">
      <c r="A298" s="21">
        <v>2024</v>
      </c>
      <c r="B298" s="21">
        <v>90199</v>
      </c>
      <c r="C298" s="9" t="s">
        <v>22</v>
      </c>
      <c r="D298" s="9" t="s">
        <v>25</v>
      </c>
      <c r="E298" s="9" t="s">
        <v>26</v>
      </c>
      <c r="F298" s="21">
        <v>37576</v>
      </c>
      <c r="G298" s="21">
        <v>1272285</v>
      </c>
      <c r="H298" s="21">
        <v>1990782</v>
      </c>
      <c r="I298" s="21">
        <v>0</v>
      </c>
      <c r="J298" s="9" t="s">
        <v>7</v>
      </c>
      <c r="K298" s="9">
        <v>3340</v>
      </c>
    </row>
    <row r="299" spans="1:11" x14ac:dyDescent="0.35">
      <c r="A299" s="21">
        <v>2024</v>
      </c>
      <c r="B299" s="21">
        <v>90199</v>
      </c>
      <c r="C299" s="9" t="s">
        <v>22</v>
      </c>
      <c r="D299" s="9" t="s">
        <v>25</v>
      </c>
      <c r="E299" s="9" t="s">
        <v>26</v>
      </c>
      <c r="F299" s="21">
        <v>37576</v>
      </c>
      <c r="G299" s="21">
        <v>1272285</v>
      </c>
      <c r="H299" s="21">
        <v>1990782</v>
      </c>
      <c r="I299" s="21">
        <v>0</v>
      </c>
      <c r="J299" s="9" t="s">
        <v>8</v>
      </c>
      <c r="K299" s="9">
        <v>104345</v>
      </c>
    </row>
    <row r="300" spans="1:11" x14ac:dyDescent="0.35">
      <c r="A300" s="21">
        <v>2024</v>
      </c>
      <c r="B300" s="21">
        <v>90199</v>
      </c>
      <c r="C300" s="9" t="s">
        <v>22</v>
      </c>
      <c r="D300" s="9" t="s">
        <v>25</v>
      </c>
      <c r="E300" s="9" t="s">
        <v>26</v>
      </c>
      <c r="F300" s="21">
        <v>37576</v>
      </c>
      <c r="G300" s="21">
        <v>1272285</v>
      </c>
      <c r="H300" s="21">
        <v>1990782</v>
      </c>
      <c r="I300" s="21">
        <v>0</v>
      </c>
      <c r="J300" s="9" t="s">
        <v>9</v>
      </c>
      <c r="K300" s="9">
        <v>7969</v>
      </c>
    </row>
    <row r="301" spans="1:11" x14ac:dyDescent="0.35">
      <c r="A301" s="21">
        <v>2024</v>
      </c>
      <c r="B301" s="21">
        <v>90199</v>
      </c>
      <c r="C301" s="9" t="s">
        <v>22</v>
      </c>
      <c r="D301" s="9" t="s">
        <v>25</v>
      </c>
      <c r="E301" s="9" t="s">
        <v>26</v>
      </c>
      <c r="F301" s="21">
        <v>37576</v>
      </c>
      <c r="G301" s="21">
        <v>1272285</v>
      </c>
      <c r="H301" s="21">
        <v>1990782</v>
      </c>
      <c r="I301" s="21">
        <v>0</v>
      </c>
      <c r="J301" s="9" t="s">
        <v>10</v>
      </c>
      <c r="K301" s="9">
        <v>17677</v>
      </c>
    </row>
    <row r="302" spans="1:11" x14ac:dyDescent="0.35">
      <c r="A302" s="21">
        <v>2024</v>
      </c>
      <c r="B302" s="21">
        <v>90199</v>
      </c>
      <c r="C302" s="9" t="s">
        <v>22</v>
      </c>
      <c r="D302" s="9" t="s">
        <v>25</v>
      </c>
      <c r="E302" s="9" t="s">
        <v>26</v>
      </c>
      <c r="F302" s="21">
        <v>37576</v>
      </c>
      <c r="G302" s="21">
        <v>1272285</v>
      </c>
      <c r="H302" s="21">
        <v>1990782</v>
      </c>
      <c r="I302" s="21">
        <v>0</v>
      </c>
      <c r="J302" s="9" t="s">
        <v>11</v>
      </c>
      <c r="K302" s="9">
        <v>8</v>
      </c>
    </row>
    <row r="303" spans="1:11" x14ac:dyDescent="0.35">
      <c r="A303" s="21">
        <v>2024</v>
      </c>
      <c r="B303" s="21">
        <v>90199</v>
      </c>
      <c r="C303" s="9" t="s">
        <v>22</v>
      </c>
      <c r="D303" s="9" t="s">
        <v>25</v>
      </c>
      <c r="E303" s="9" t="s">
        <v>26</v>
      </c>
      <c r="F303" s="21">
        <v>37576</v>
      </c>
      <c r="G303" s="21">
        <v>1272285</v>
      </c>
      <c r="H303" s="21">
        <v>1990782</v>
      </c>
      <c r="I303" s="21">
        <v>0</v>
      </c>
      <c r="J303" s="9" t="s">
        <v>12</v>
      </c>
      <c r="K303" s="9">
        <v>76.44</v>
      </c>
    </row>
    <row r="304" spans="1:11" x14ac:dyDescent="0.35">
      <c r="A304" s="21">
        <v>2024</v>
      </c>
      <c r="B304" s="21">
        <v>90199</v>
      </c>
      <c r="C304" s="9" t="s">
        <v>22</v>
      </c>
      <c r="D304" s="9" t="s">
        <v>25</v>
      </c>
      <c r="E304" s="9" t="s">
        <v>26</v>
      </c>
      <c r="F304" s="21">
        <v>37576</v>
      </c>
      <c r="G304" s="21">
        <v>1272285</v>
      </c>
      <c r="H304" s="21">
        <v>1990782</v>
      </c>
      <c r="I304" s="21">
        <v>0</v>
      </c>
      <c r="J304" s="9" t="s">
        <v>13</v>
      </c>
      <c r="K304" s="9">
        <v>12.9504</v>
      </c>
    </row>
    <row r="305" spans="1:11" x14ac:dyDescent="0.35">
      <c r="A305" s="21">
        <v>2024</v>
      </c>
      <c r="B305" s="21">
        <v>90199</v>
      </c>
      <c r="C305" s="9" t="s">
        <v>22</v>
      </c>
      <c r="D305" s="9" t="s">
        <v>25</v>
      </c>
      <c r="E305" s="9" t="s">
        <v>26</v>
      </c>
      <c r="F305" s="21">
        <v>37576</v>
      </c>
      <c r="G305" s="21">
        <v>1272285</v>
      </c>
      <c r="H305" s="21">
        <v>1990782</v>
      </c>
      <c r="I305" s="21">
        <v>0</v>
      </c>
      <c r="J305" s="9" t="s">
        <v>14</v>
      </c>
      <c r="K305" s="9">
        <v>169.57</v>
      </c>
    </row>
    <row r="306" spans="1:11" x14ac:dyDescent="0.35">
      <c r="A306" s="21">
        <v>2024</v>
      </c>
      <c r="B306" s="21">
        <v>90199</v>
      </c>
      <c r="C306" s="9" t="s">
        <v>22</v>
      </c>
      <c r="D306" s="9" t="s">
        <v>25</v>
      </c>
      <c r="E306" s="9" t="s">
        <v>26</v>
      </c>
      <c r="F306" s="21">
        <v>37576</v>
      </c>
      <c r="G306" s="21">
        <v>1272285</v>
      </c>
      <c r="H306" s="21">
        <v>1990782</v>
      </c>
      <c r="I306" s="21">
        <v>0</v>
      </c>
      <c r="J306" s="9" t="s">
        <v>45</v>
      </c>
      <c r="K306" s="9">
        <v>2.2182206048437698</v>
      </c>
    </row>
    <row r="307" spans="1:11" x14ac:dyDescent="0.35">
      <c r="A307" s="21">
        <v>2024</v>
      </c>
      <c r="B307" s="21">
        <v>90199</v>
      </c>
      <c r="C307" s="9" t="s">
        <v>22</v>
      </c>
      <c r="D307" s="9" t="s">
        <v>25</v>
      </c>
      <c r="E307" s="9" t="s">
        <v>26</v>
      </c>
      <c r="F307" s="21">
        <v>37576</v>
      </c>
      <c r="G307" s="21">
        <v>1272285</v>
      </c>
      <c r="H307" s="21">
        <v>1990782</v>
      </c>
      <c r="I307" s="21">
        <v>0</v>
      </c>
      <c r="J307" s="9" t="s">
        <v>15</v>
      </c>
      <c r="K307" s="9">
        <v>0.1694</v>
      </c>
    </row>
    <row r="308" spans="1:11" x14ac:dyDescent="0.35">
      <c r="A308" s="21">
        <v>2024</v>
      </c>
      <c r="B308" s="21">
        <v>90199</v>
      </c>
      <c r="C308" s="9" t="s">
        <v>22</v>
      </c>
      <c r="D308" s="9" t="s">
        <v>25</v>
      </c>
      <c r="E308" s="9" t="s">
        <v>26</v>
      </c>
      <c r="F308" s="21">
        <v>37576</v>
      </c>
      <c r="G308" s="21">
        <v>1272285</v>
      </c>
      <c r="H308" s="21">
        <v>1990782</v>
      </c>
      <c r="I308" s="21">
        <v>0</v>
      </c>
      <c r="J308" s="9" t="s">
        <v>16</v>
      </c>
      <c r="K308" s="9">
        <v>2.4716701459987435E-3</v>
      </c>
    </row>
    <row r="309" spans="1:11" x14ac:dyDescent="0.35">
      <c r="A309" s="21">
        <v>2024</v>
      </c>
      <c r="B309" s="21">
        <v>90199</v>
      </c>
      <c r="C309" s="9" t="s">
        <v>22</v>
      </c>
      <c r="D309" s="9" t="s">
        <v>25</v>
      </c>
      <c r="E309" s="9" t="s">
        <v>26</v>
      </c>
      <c r="F309" s="21">
        <v>37576</v>
      </c>
      <c r="G309" s="21">
        <v>1272285</v>
      </c>
      <c r="H309" s="21">
        <v>1990782</v>
      </c>
      <c r="I309" s="21">
        <v>0</v>
      </c>
      <c r="J309" s="9" t="s">
        <v>17</v>
      </c>
      <c r="K309" s="9">
        <v>7.1</v>
      </c>
    </row>
    <row r="312" spans="1:11" x14ac:dyDescent="0.35">
      <c r="K312" t="str">
        <f>"Annual Metric: " &amp; O5</f>
        <v>Annual Metric: Operating_Expenses</v>
      </c>
    </row>
  </sheetData>
  <mergeCells count="2">
    <mergeCell ref="N3:O3"/>
    <mergeCell ref="N22:O22"/>
  </mergeCells>
  <phoneticPr fontId="18" type="noConversion"/>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01DFFB-94BB-41C6-8B7C-BBED6F9AC2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Dynamic Dashboard</vt:lpstr>
      <vt:lpstr>madera_transit_master</vt:lpstr>
      <vt:lpstr>Pivot Engine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Ralph Cuevas</dc:creator>
  <cp:lastModifiedBy>Ralph Cuevas</cp:lastModifiedBy>
  <cp:lastPrinted>2026-06-07T07:52:39Z</cp:lastPrinted>
  <dcterms:created xsi:type="dcterms:W3CDTF">2026-06-06T02:09:31Z</dcterms:created>
  <dcterms:modified xsi:type="dcterms:W3CDTF">2026-06-07T08:07:38Z</dcterms:modified>
</cp:coreProperties>
</file>